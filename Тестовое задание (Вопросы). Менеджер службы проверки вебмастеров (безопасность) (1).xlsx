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C:\Users\vdvnick\AppData\Local\Packages\Microsoft.MicrosoftEdge_8wekyb3d8bbwe\TempState\Downloads\"/>
    </mc:Choice>
  </mc:AlternateContent>
  <xr:revisionPtr revIDLastSave="0" documentId="13_ncr:1_{E82EFB17-FBF0-4BF9-BECE-11824CE1C1A6}" xr6:coauthVersionLast="45" xr6:coauthVersionMax="45" xr10:uidLastSave="{00000000-0000-0000-0000-000000000000}"/>
  <bookViews>
    <workbookView xWindow="-28920" yWindow="-120" windowWidth="29040" windowHeight="16440" activeTab="1" xr2:uid="{00000000-000D-0000-FFFF-FFFF00000000}"/>
  </bookViews>
  <sheets>
    <sheet name="Задание" sheetId="1" r:id="rId1"/>
    <sheet name="Данные" sheetId="2" r:id="rId2"/>
  </sheet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3" i="2" l="1"/>
  <c r="D105" i="2"/>
  <c r="D57" i="2"/>
  <c r="D113" i="2"/>
  <c r="D107" i="2"/>
  <c r="D82" i="2"/>
  <c r="D19" i="2"/>
  <c r="D11" i="2"/>
  <c r="D18" i="2"/>
  <c r="D92" i="2"/>
  <c r="D40" i="2"/>
  <c r="D50" i="2"/>
  <c r="D56" i="2"/>
  <c r="D34" i="2"/>
  <c r="D54" i="2"/>
  <c r="D26" i="2"/>
  <c r="D27" i="2"/>
  <c r="D30" i="2"/>
  <c r="D85" i="2"/>
  <c r="D8" i="2"/>
  <c r="D23" i="2"/>
  <c r="D45" i="2"/>
  <c r="D29" i="2"/>
  <c r="D5" i="2"/>
  <c r="D39" i="2"/>
  <c r="D6" i="2"/>
  <c r="D55" i="2"/>
  <c r="D12" i="2"/>
  <c r="D13" i="2"/>
  <c r="D111" i="2"/>
  <c r="D108" i="2"/>
  <c r="D68" i="2"/>
  <c r="D66" i="2"/>
  <c r="D62" i="2"/>
</calcChain>
</file>

<file path=xl/sharedStrings.xml><?xml version="1.0" encoding="utf-8"?>
<sst xmlns="http://schemas.openxmlformats.org/spreadsheetml/2006/main" count="582" uniqueCount="378">
  <si>
    <t>На странице "Данные" представлен список заказов (лидов) полученных от разных вебмастеров</t>
  </si>
  <si>
    <t>Вопрос: кого из перечисленных вебмастеров, вы будете подозревать в мошеннических действиях и почему</t>
  </si>
  <si>
    <t>Статус заказа "Подтверждён" - означает что коллцентр связался с клиентом и договорился о доставке товара, выплата вебмастеру "за клиента" произошла, но рекламодатель ещё не получил доход с продажи товара</t>
  </si>
  <si>
    <t>Статус заказа "Отмена" - означает, что коллцентр не смог связаться с клиентом, либо клиент отказался от доставки товара, выплата вебмастеру "за клиента" не произошла.</t>
  </si>
  <si>
    <t>ID вебмастера</t>
  </si>
  <si>
    <t>Статус</t>
  </si>
  <si>
    <t>ФИО</t>
  </si>
  <si>
    <t>Телефон</t>
  </si>
  <si>
    <t>IP Адрес</t>
  </si>
  <si>
    <t>Время заказа</t>
  </si>
  <si>
    <t>User Agent</t>
  </si>
  <si>
    <t>Отмена</t>
  </si>
  <si>
    <t>Лямин Захар</t>
  </si>
  <si>
    <t>185.165.202.166</t>
  </si>
  <si>
    <t>01.10.2020 9:49:30 +03:00</t>
  </si>
  <si>
    <t>PC / Mac OS X 10.13.6 / Yandex Browser 20.8.0</t>
  </si>
  <si>
    <t>Подтверждён</t>
  </si>
  <si>
    <t>Владислав</t>
  </si>
  <si>
    <t>185.165.147.121</t>
  </si>
  <si>
    <t>01.10.2020 9:9:8 +03:00</t>
  </si>
  <si>
    <t>PC / Mac OS X 10.12.6 / Chrome 85.0.4183</t>
  </si>
  <si>
    <t>нюшкина Анфиса</t>
  </si>
  <si>
    <t>176.59.208.210</t>
  </si>
  <si>
    <t>01.10.2020 9:42:53 +03:00</t>
  </si>
  <si>
    <t>PC / Windows 10 / Chrome 85.0.4183</t>
  </si>
  <si>
    <t>Головченко Эрнст</t>
  </si>
  <si>
    <t>185.165.227.110</t>
  </si>
  <si>
    <t>01.10.2020 9:50:15 +03:00</t>
  </si>
  <si>
    <t>PC / Windows 7 / Yandex Browser 20.9.0</t>
  </si>
  <si>
    <t>Иван</t>
  </si>
  <si>
    <t>213.87.251.166</t>
  </si>
  <si>
    <t>01.10.2020 9:05:20 +03:00</t>
  </si>
  <si>
    <t>PC / Windows 7 / Chrome 83.0.4103</t>
  </si>
  <si>
    <t>Чичиков Лука</t>
  </si>
  <si>
    <t>89.113.221.159</t>
  </si>
  <si>
    <t>01.10.2020 9:14:54 +03:00</t>
  </si>
  <si>
    <t>PC / Mac OS X 10.15.6 / Chrome 83.0.4103</t>
  </si>
  <si>
    <t>Григолюк Эрнст Александрович</t>
  </si>
  <si>
    <t>185.165.237.165</t>
  </si>
  <si>
    <t>01.10.2020 9:38:11 +03:00</t>
  </si>
  <si>
    <t>PC / Windows 10 / Chrome 83.0.4103</t>
  </si>
  <si>
    <t>Фламин Владилен Назарович</t>
  </si>
  <si>
    <t>213.87.204.192</t>
  </si>
  <si>
    <t>01.10.2020 9:59:10 +03:00</t>
  </si>
  <si>
    <t>iPhone / iOS 14.0.1 / Mobile Safari 14.0</t>
  </si>
  <si>
    <t>Шемякин Алексей Богданович</t>
  </si>
  <si>
    <t>176.59.132.208</t>
  </si>
  <si>
    <t>01.10.2020 9:37:14 +03:00</t>
  </si>
  <si>
    <t>PC / Windows 10 / Opera 71.0.3770</t>
  </si>
  <si>
    <t>Бронислав</t>
  </si>
  <si>
    <t>89.113.213.221</t>
  </si>
  <si>
    <t>01.10.2020 9:40:22 +03:00</t>
  </si>
  <si>
    <t>PC / Windows 7 / Firefox 81.0</t>
  </si>
  <si>
    <t>Инга</t>
  </si>
  <si>
    <t>89.113.154.221</t>
  </si>
  <si>
    <t>01.10.2020 9:56:41 +03:00</t>
  </si>
  <si>
    <t>Оболенский Мирон Анатолиевич</t>
  </si>
  <si>
    <t>213.87.201.206</t>
  </si>
  <si>
    <t>01.10.2020 9:53:29 +03:00</t>
  </si>
  <si>
    <t>iPhone / iOS 13.1.3 / Mobile Safari 13.0.1</t>
  </si>
  <si>
    <t>Аскольд</t>
  </si>
  <si>
    <t>176.59.177.128</t>
  </si>
  <si>
    <t>01.10.2020 9:51:32 +03:00</t>
  </si>
  <si>
    <t>PC / Windows 8.1 / Chrome 85.0.4183</t>
  </si>
  <si>
    <t>Доронина Изольда</t>
  </si>
  <si>
    <t>176.59.211.208</t>
  </si>
  <si>
    <t>01.10.2020 9:24:44 +03:00</t>
  </si>
  <si>
    <t>Кошкова Ева</t>
  </si>
  <si>
    <t>213.87.250.158</t>
  </si>
  <si>
    <t>01.10.2020 9:11:28 +03:00</t>
  </si>
  <si>
    <t>PC / Mac OS X 10.15.4 / Chrome 85.0.4183</t>
  </si>
  <si>
    <t>Яковец Филимон Левович</t>
  </si>
  <si>
    <t>185.210.137.125</t>
  </si>
  <si>
    <t>01.10.2020 9:17:56 +03:00</t>
  </si>
  <si>
    <t>PC / Linux / Chrome 85.0.4183</t>
  </si>
  <si>
    <t>Паршиков Илья Самсонович</t>
  </si>
  <si>
    <t>83.220.141.211</t>
  </si>
  <si>
    <t>01.10.2020 9:58:49 +03:00</t>
  </si>
  <si>
    <t>PC / Windows 8.1 / Opera 70.0.3728</t>
  </si>
  <si>
    <t>Ника</t>
  </si>
  <si>
    <t>91.193.147.219</t>
  </si>
  <si>
    <t>01.10.2020 9:35:20 +03:00</t>
  </si>
  <si>
    <t>Other / Other / Other</t>
  </si>
  <si>
    <t>Цулукидзе Виктор Тарасович</t>
  </si>
  <si>
    <t>185.165.101.138</t>
  </si>
  <si>
    <t>01.10.2020 9:13:49 +03:00</t>
  </si>
  <si>
    <t>Samsung SM-A530F / Android / Samsung Internet 7.4</t>
  </si>
  <si>
    <t>Лещёв Клавдий Евгениевич</t>
  </si>
  <si>
    <t>195.9.164.233</t>
  </si>
  <si>
    <t>01.10.2020 9:17:55 +03:00</t>
  </si>
  <si>
    <t>Generic Smartphone / Android / Chrome Mobile 75.0.3770</t>
  </si>
  <si>
    <t>Яков</t>
  </si>
  <si>
    <t>37.110.148.178</t>
  </si>
  <si>
    <t>01.10.2020 9:17:11 +03:00</t>
  </si>
  <si>
    <t>PC / Windows 10 / Yandex Browser 20.8.3</t>
  </si>
  <si>
    <t>Марианна</t>
  </si>
  <si>
    <t>176.59.164.208</t>
  </si>
  <si>
    <t>01.10.2020 9:30:12 +03:00</t>
  </si>
  <si>
    <t>Generic Smartphone / Android 5.1.1 / Chrome Mobile 85.0.4183</t>
  </si>
  <si>
    <t>Александрина Стела Яновна</t>
  </si>
  <si>
    <t>185.165.212.205</t>
  </si>
  <si>
    <t>01.10.2020 9:43:13 +03:00</t>
  </si>
  <si>
    <t>PC / Mac OS X 10.12.6 / Chrome 83.0.4103</t>
  </si>
  <si>
    <t>Моисей</t>
  </si>
  <si>
    <t>89.113.142.147</t>
  </si>
  <si>
    <t>01.10.2020 9:11:56 +03:00</t>
  </si>
  <si>
    <t>Generic Smartphone / Android / Yandex Browser 20.8.3</t>
  </si>
  <si>
    <t>Полушина Светлана Игоревна</t>
  </si>
  <si>
    <t>109.252.250.177</t>
  </si>
  <si>
    <t>01.10.2020 9:49:14 +03:00</t>
  </si>
  <si>
    <t>iPhone / iOS 14.0 / Yandex Browser 20.8.1</t>
  </si>
  <si>
    <t>Ягофарова Милена Мироновна</t>
  </si>
  <si>
    <t>195.9.252.194</t>
  </si>
  <si>
    <t>01.10.2020 9:59:18 +03:00</t>
  </si>
  <si>
    <t>Табернакулова Ника Петровна</t>
  </si>
  <si>
    <t>176.59.174.180</t>
  </si>
  <si>
    <t>PC / Mac OS X 10.13.6 / Safari 13.1.2</t>
  </si>
  <si>
    <t>Самсон</t>
  </si>
  <si>
    <t>89.169.100.106</t>
  </si>
  <si>
    <t>01.10.2020 9:43:55 +03:00</t>
  </si>
  <si>
    <t>Груздев Наум Евлампиевич</t>
  </si>
  <si>
    <t>89.169.131.148</t>
  </si>
  <si>
    <t>01.10.2020 9:13:67 +03:00</t>
  </si>
  <si>
    <t>Щередин Якуб</t>
  </si>
  <si>
    <t>89.113.102.229</t>
  </si>
  <si>
    <t>01.10.2020 9:54:36 +03:00</t>
  </si>
  <si>
    <t>Generic Smartphone / Android 6.0.1 / Chrome Mobile 85.0.4183</t>
  </si>
  <si>
    <t>Анисья</t>
  </si>
  <si>
    <t>188.65.181.153</t>
  </si>
  <si>
    <t>01.10.2020 9:22:19 +03:00</t>
  </si>
  <si>
    <t>Нестор</t>
  </si>
  <si>
    <t>185.165.182.162</t>
  </si>
  <si>
    <t>Generic Smartphone / Android / Chrome Mobile 84.0.4147</t>
  </si>
  <si>
    <t>Кутлыева Галина Юлиевна</t>
  </si>
  <si>
    <t>176.59.180.142</t>
  </si>
  <si>
    <t>01.10.2020 9:23:55 +03:00</t>
  </si>
  <si>
    <t>Качусова Влада Михеевна</t>
  </si>
  <si>
    <t>176.59.168.161</t>
  </si>
  <si>
    <t>PC / Mac OS X 10.15.7 / Chrome 85.0.4183</t>
  </si>
  <si>
    <t>Феофан</t>
  </si>
  <si>
    <t>213.87.184.155</t>
  </si>
  <si>
    <t>01.10.2020 9:22:54 +03:00</t>
  </si>
  <si>
    <t>Samsung SM-A505FN / Android / Samsung Internet 12.1</t>
  </si>
  <si>
    <t>Альбина</t>
  </si>
  <si>
    <t>109.252.191.214</t>
  </si>
  <si>
    <t>01.10.2020 9:12:13 +03:00</t>
  </si>
  <si>
    <t>Симонов Аким Михаилович</t>
  </si>
  <si>
    <t>46.242.234.148</t>
  </si>
  <si>
    <t>01.10.2020 9:45:40 +03:00</t>
  </si>
  <si>
    <t>Домаша Галина</t>
  </si>
  <si>
    <t>185.165.253.246</t>
  </si>
  <si>
    <t>PC / Mac OS X 10.15.7 / Safari 14.0</t>
  </si>
  <si>
    <t>Лужкова Раиса Станиславовна</t>
  </si>
  <si>
    <t>213.87.204.119</t>
  </si>
  <si>
    <t>PC / Windows 7 / Chrome 66.0.3359</t>
  </si>
  <si>
    <t>Николаичев Кондрат</t>
  </si>
  <si>
    <t>176.59.197.209</t>
  </si>
  <si>
    <t>01.10.2020 9:47:24 +03:00</t>
  </si>
  <si>
    <t>PC / Windows 10 / Chrome 81.0.4044</t>
  </si>
  <si>
    <t>Лобачёв Константин</t>
  </si>
  <si>
    <t>89.113.184.130</t>
  </si>
  <si>
    <t>01.10.2020 9:41:23 +03:00</t>
  </si>
  <si>
    <t>Generic Smartphone / Android 6.0.1 / Chrome Mobile 84.0.4147</t>
  </si>
  <si>
    <t>Анисья Брониславовна</t>
  </si>
  <si>
    <t>89.113.101.161</t>
  </si>
  <si>
    <t>01.10.2020 9:37:31 +03:00</t>
  </si>
  <si>
    <t>Прокл</t>
  </si>
  <si>
    <t>176.59.254.144</t>
  </si>
  <si>
    <t>01.10.2020 9:30:40 +03:00</t>
  </si>
  <si>
    <t>Салтанов Юлиан Наумович</t>
  </si>
  <si>
    <t>185.165.215.225</t>
  </si>
  <si>
    <t>01.10.2020 9:35:48 +03:00</t>
  </si>
  <si>
    <t>Generic Smartphone / Android / Yandex Browser 20.8.2</t>
  </si>
  <si>
    <t>Игошина Рада Георгиевна</t>
  </si>
  <si>
    <t>89.113.112.140</t>
  </si>
  <si>
    <t>01.10.2020 9:14:10 +03:00</t>
  </si>
  <si>
    <t>Ситников Евдоким Модестович</t>
  </si>
  <si>
    <t>109.252.148.212</t>
  </si>
  <si>
    <t>01.10.2020 9:58:13 +03:00</t>
  </si>
  <si>
    <t>Generic Smartphone / Android 8.0.0 / Chrome Mobile 85.0.4183</t>
  </si>
  <si>
    <t>Солодскиха Лиана</t>
  </si>
  <si>
    <t>89.169.187.194</t>
  </si>
  <si>
    <t>Ли Никанор Яковович</t>
  </si>
  <si>
    <t>185.165.162.123</t>
  </si>
  <si>
    <t>01.10.2020 9:39:26 +03:00</t>
  </si>
  <si>
    <t>46.242.251.156</t>
  </si>
  <si>
    <t>01.10.2020 9:39:43 +03:00</t>
  </si>
  <si>
    <t>Кристина</t>
  </si>
  <si>
    <t>188.65.126.219</t>
  </si>
  <si>
    <t>01.10.2020 9:30:27 +03:00</t>
  </si>
  <si>
    <t>iPhone / iOS 13.5 / Mobile Safari 13.1.1</t>
  </si>
  <si>
    <t>Диана</t>
  </si>
  <si>
    <t>109.252.125.123</t>
  </si>
  <si>
    <t>01.10.2020 9:25:32 +03:00</t>
  </si>
  <si>
    <t>Samsung SM-A700H / Android 4.4.4 / Chrome Mobile 34.0.1847</t>
  </si>
  <si>
    <t>Доминика</t>
  </si>
  <si>
    <t>89.113.170.101</t>
  </si>
  <si>
    <t>01.10.2020 9:51:23 +03:00</t>
  </si>
  <si>
    <t>Проскура Всеслава</t>
  </si>
  <si>
    <t>176.59.248.121</t>
  </si>
  <si>
    <t>Захар</t>
  </si>
  <si>
    <t>185.165.140.220</t>
  </si>
  <si>
    <t>Квартин Аким</t>
  </si>
  <si>
    <t>89.113.122.247</t>
  </si>
  <si>
    <t>01.10.2020 9:54:10 +03:00</t>
  </si>
  <si>
    <t>Роза</t>
  </si>
  <si>
    <t>89.113.165.248</t>
  </si>
  <si>
    <t>01.10.2020 9:38:30 +03:00</t>
  </si>
  <si>
    <t>Generic Smartphone / Android 8.1.0 / Chrome Mobile 76.0.3809</t>
  </si>
  <si>
    <t>Ульяна</t>
  </si>
  <si>
    <t>83.220.242.192</t>
  </si>
  <si>
    <t>01.10.2020 9:13:29 +03:00</t>
  </si>
  <si>
    <t>PC / Windows 10 / Opera 70.0.3728</t>
  </si>
  <si>
    <t>Яфракова Нина</t>
  </si>
  <si>
    <t>89.113.221.148</t>
  </si>
  <si>
    <t>01.10.2020 9:28:38 +03:00</t>
  </si>
  <si>
    <t>Куваева Антонина</t>
  </si>
  <si>
    <t>176.59.181.137</t>
  </si>
  <si>
    <t>01.10.2020 9:23:36 +03:00</t>
  </si>
  <si>
    <t>iPhone / iOS 13.6 / Mobile Safari 13.1.2</t>
  </si>
  <si>
    <t>Сарнычева Эльвира Кузьмевна</t>
  </si>
  <si>
    <t>89.113.199.203</t>
  </si>
  <si>
    <t>Северин Архип Изяславович</t>
  </si>
  <si>
    <t>176.59.244.237</t>
  </si>
  <si>
    <t>01.10.2020 9:24:47 +03:00</t>
  </si>
  <si>
    <t>Generic Smartphone / Android / Chrome Mobile 85.0.4183</t>
  </si>
  <si>
    <t>Анна Романовна</t>
  </si>
  <si>
    <t>176.59.249.216</t>
  </si>
  <si>
    <t>01.10.2020 9:31:44 +03:00</t>
  </si>
  <si>
    <t>Злата</t>
  </si>
  <si>
    <t>195.9.203.242</t>
  </si>
  <si>
    <t>01.10.2020 9:01:16 +03:00</t>
  </si>
  <si>
    <t>Барсова Анна Никитевна</t>
  </si>
  <si>
    <t>185.210.236.184</t>
  </si>
  <si>
    <t>01.10.2020 9:53:15 +03:00</t>
  </si>
  <si>
    <t>PC / Mac OS X 10.13.6 / Chrome 85.0.4183</t>
  </si>
  <si>
    <t>Адриан</t>
  </si>
  <si>
    <t>83.220.200.253</t>
  </si>
  <si>
    <t>01.10.2020 9:24:16 +03:00</t>
  </si>
  <si>
    <t>Вячеслав</t>
  </si>
  <si>
    <t>176.59.226.119</t>
  </si>
  <si>
    <t>01.10.2020 9:41:32 +03:00</t>
  </si>
  <si>
    <t>Мигунова Эмма</t>
  </si>
  <si>
    <t>83.220.150.158</t>
  </si>
  <si>
    <t>01.10.2020 9:59:16 +03:00</t>
  </si>
  <si>
    <t>Оленева Лариса Кузьмевна</t>
  </si>
  <si>
    <t>176.59.171.154</t>
  </si>
  <si>
    <t>Жабин Владислав Фомевич</t>
  </si>
  <si>
    <t>91.193.235.119</t>
  </si>
  <si>
    <t>01.10.2020 9:04:05 +03:00</t>
  </si>
  <si>
    <t>Ульяшина Алла Марковна</t>
  </si>
  <si>
    <t>176.59.250.176</t>
  </si>
  <si>
    <t>Кунаковский Семен</t>
  </si>
  <si>
    <t>46.242.163.240</t>
  </si>
  <si>
    <t>01.10.2020 9:27:39 +03:00</t>
  </si>
  <si>
    <t>iPhone / iOS 13.6.1 / Mobile Safari 13.1.2</t>
  </si>
  <si>
    <t>Бормотов Фадей</t>
  </si>
  <si>
    <t>89.169.200.170</t>
  </si>
  <si>
    <t>Юлий</t>
  </si>
  <si>
    <t>185.165.219.179</t>
  </si>
  <si>
    <t>iPhone / iOS 13.7 / Mobile Safari 13.7</t>
  </si>
  <si>
    <t>Малинов Владимир Семенович</t>
  </si>
  <si>
    <t>91.193.201.245</t>
  </si>
  <si>
    <t>01.10.2020 9:43:10 +03:00</t>
  </si>
  <si>
    <t>Лаврентий</t>
  </si>
  <si>
    <t>89.113.125.118</t>
  </si>
  <si>
    <t>01.10.2020 9:32:21 +03:00</t>
  </si>
  <si>
    <t>Рената</t>
  </si>
  <si>
    <t>83.220.224.137</t>
  </si>
  <si>
    <t>01.10.2020 9:45:26 +03:00</t>
  </si>
  <si>
    <t>Жванеца Диана Леонидовна</t>
  </si>
  <si>
    <t>89.169.233.212</t>
  </si>
  <si>
    <t>01.10.2020 9:16:44 +03:00</t>
  </si>
  <si>
    <t>Валентин</t>
  </si>
  <si>
    <t>176.59.155.108</t>
  </si>
  <si>
    <t>01.10.2020 9:47:10 +03:00</t>
  </si>
  <si>
    <t>PC / Mac OS X 10.15.6 / Chrome 85.0.4183</t>
  </si>
  <si>
    <t>Гребенников Ростислав Олегович</t>
  </si>
  <si>
    <t>109.252.192.243</t>
  </si>
  <si>
    <t>Наум</t>
  </si>
  <si>
    <t>89.113.139.252</t>
  </si>
  <si>
    <t>01.10.2020 9:43:41 +03:00</t>
  </si>
  <si>
    <t>PC / Mac OS X 10.14.6 / Chrome 85.0.4183</t>
  </si>
  <si>
    <t>Трапезников Онуфрий Еремеевич</t>
  </si>
  <si>
    <t>176.59.225.101</t>
  </si>
  <si>
    <t>Буслаев Родион Моисеевич</t>
  </si>
  <si>
    <t>176.59.133.179</t>
  </si>
  <si>
    <t>01.10.2020 9:58:39 +03:00</t>
  </si>
  <si>
    <t>Малюгин Фома</t>
  </si>
  <si>
    <t>89.169.193.213</t>
  </si>
  <si>
    <t>83.220.122.181</t>
  </si>
  <si>
    <t>01.10.2020 9:23:47 +03:00</t>
  </si>
  <si>
    <t>Дуванов Ираклий</t>
  </si>
  <si>
    <t>176.59.165.148</t>
  </si>
  <si>
    <t>01.10.2020 9:46:49 +03:00</t>
  </si>
  <si>
    <t>Кадников Архип</t>
  </si>
  <si>
    <t>213.87.148.196</t>
  </si>
  <si>
    <t>Топоров Пахом Остапович</t>
  </si>
  <si>
    <t>185.210.214.228</t>
  </si>
  <si>
    <t>01.10.2020 9:11:44 +03:00</t>
  </si>
  <si>
    <t>Кустова Лиана</t>
  </si>
  <si>
    <t>109.252.159.207</t>
  </si>
  <si>
    <t>Язин Семён</t>
  </si>
  <si>
    <t>46.242.223.114</t>
  </si>
  <si>
    <t>Демьян</t>
  </si>
  <si>
    <t>89.113.103.208</t>
  </si>
  <si>
    <t>01.10.2020 9:60:53 +03:00</t>
  </si>
  <si>
    <t>Битнер Эдуард</t>
  </si>
  <si>
    <t>89.113.106.250</t>
  </si>
  <si>
    <t>PC / Windows 7 / Yandex Browser 20.8.3</t>
  </si>
  <si>
    <t>Приемский Яков Валериевич</t>
  </si>
  <si>
    <t>46.242.255.193</t>
  </si>
  <si>
    <t>01.10.2020 9:15:55 +03:00</t>
  </si>
  <si>
    <t>Вероника</t>
  </si>
  <si>
    <t>91.193.120.132</t>
  </si>
  <si>
    <t>01.10.2020 9:48:57 +03:00</t>
  </si>
  <si>
    <t>Савинкова Бронислава</t>
  </si>
  <si>
    <t>176.59.110.116</t>
  </si>
  <si>
    <t>Ирина</t>
  </si>
  <si>
    <t>46.242.255.232</t>
  </si>
  <si>
    <t>01.10.2020 9:30:20 +03:00</t>
  </si>
  <si>
    <t>Generic Smartphone / Android 8.1.0 / Chrome Mobile 85.0.4183</t>
  </si>
  <si>
    <t>Бушмелева Ефросинья</t>
  </si>
  <si>
    <t>213.87.233.137</t>
  </si>
  <si>
    <t>01.10.2020 9:42:20 +03:00</t>
  </si>
  <si>
    <t>Белозерцева Влада</t>
  </si>
  <si>
    <t>176.59.117.164</t>
  </si>
  <si>
    <t>01.10.2020 9:13:19 +03:00</t>
  </si>
  <si>
    <t>Крутов Соломон Панкратиевич</t>
  </si>
  <si>
    <t>213.87.167.129</t>
  </si>
  <si>
    <t>01.10.2020 9:59:38 +03:00</t>
  </si>
  <si>
    <t>iPad / iOS 12.4.5 / Chrome Mobile iOS 60.0.3112</t>
  </si>
  <si>
    <t>Коротаева Вера</t>
  </si>
  <si>
    <t>109.252.112.197</t>
  </si>
  <si>
    <t>Трофимова Елизавета</t>
  </si>
  <si>
    <t>213.87.153.249</t>
  </si>
  <si>
    <t>01.10.2020 9:55:33 +03:00</t>
  </si>
  <si>
    <t>XiaoMi MI 8 Lite / Android / Chrome Mobile 71.0.3578</t>
  </si>
  <si>
    <t>Вахров Егор Мартьянович</t>
  </si>
  <si>
    <t>195.9.165.158</t>
  </si>
  <si>
    <t>01.10.2020 9:16:37 +03:00</t>
  </si>
  <si>
    <t>PC / Windows 10 / Chrome 84.0.4147</t>
  </si>
  <si>
    <t>Курдикова Валерия</t>
  </si>
  <si>
    <t>89.169.183.152</t>
  </si>
  <si>
    <t>Бессмертный Станислав Гаврилевич</t>
  </si>
  <si>
    <t>185.165.128.137</t>
  </si>
  <si>
    <t>01.10.2020 9:33:41 +03:00</t>
  </si>
  <si>
    <t>Ефросиния</t>
  </si>
  <si>
    <t>185.165.172.116</t>
  </si>
  <si>
    <t>01.10.2020 9:43:43 +03:00</t>
  </si>
  <si>
    <t>PC / Windows 10 / Edge 18.18363</t>
  </si>
  <si>
    <t>Парфен Маркович</t>
  </si>
  <si>
    <t>176.59.205.173</t>
  </si>
  <si>
    <t>01.10.2020 9:40:13 +03:00</t>
  </si>
  <si>
    <t>Квакин Кондрат</t>
  </si>
  <si>
    <t>91.193.188.181</t>
  </si>
  <si>
    <t>01.10.2020 9:17:18 +03:00</t>
  </si>
  <si>
    <t>Оксана</t>
  </si>
  <si>
    <t>176.59.225.143</t>
  </si>
  <si>
    <t>Generic Smartphone / Android / Yandex Browser 20.3.5</t>
  </si>
  <si>
    <t>Богуна Екатерина</t>
  </si>
  <si>
    <t>195.9.144.234</t>
  </si>
  <si>
    <t>Якина Зинаида Карповна</t>
  </si>
  <si>
    <t>109.252.235.193</t>
  </si>
  <si>
    <t>01.10.2020 9:42:42 +03:00</t>
  </si>
  <si>
    <t>Новожилова Нона</t>
  </si>
  <si>
    <t>188.65.219.252</t>
  </si>
  <si>
    <t>Гандельсман Георгий</t>
  </si>
  <si>
    <t>89.169.182.165</t>
  </si>
  <si>
    <t>Кондр Пахом</t>
  </si>
  <si>
    <t>213.87.235.232</t>
  </si>
  <si>
    <t>Невшупа Алексей</t>
  </si>
  <si>
    <t>46.242.199.210</t>
  </si>
  <si>
    <t>01.10.2020 9:51:48 +03:00</t>
  </si>
  <si>
    <t>Якутин Артур Владимирович</t>
  </si>
  <si>
    <t>83.220.129.159</t>
  </si>
  <si>
    <t>01.10.2020 9:44:11 +03:00</t>
  </si>
  <si>
    <t xml:space="preserve">1) Первое на что я бы обратил внимание - это неправильно заполненные ФИО или не полные данные, меня бы это насторожило как минимум
2) Прогнал бы все IP адреса по базе данных, которая определяет метоположение по IP адресу, например через сервис "MaxMind Lite", записал бы рядом с IP адресом местоположение.
3) Аналогично сделал бы для номеров телефонов с помощью сервиса Dadata
4) Прогнал бы по базе номеров номеров на предмет "отзывов о номере", вдруг есть информация, что этот номер использовался для пустого прозвона или в мошенических целях, использовал бы сервис на подобии Dadata
5) Соотнес бы местонахождение мастера и региона номера телефона, соответственно если у человека номер с Астрахани, а заходил он с Витебска - меня бы это насторожило как минимум
5) Далее отсортировал бы по отмененным заказам и посмотрел, не с одного и того же места были заказы или не с одного и тоже устройства
6) Не совсем понятен столбик с ID
7) Все вышеперечисленные действия я бы автоматизировал, использовал бы c#, python, JS, на крайний случай с++ QT. Далее сверял результаты отбора программы с проверенными, верифицированными мастерами, которые 100% валиды и честны), если программа вносила бы один из таких валидных мастеров в черный список, вносил бы изменения в алгоритме отбора недобросоветсных мастеров)))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</si>
</sst>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 x14ac:knownFonts="1">
    <font>
      <sz val="10"/>
      <color rgb="FF000000"/>
      <name val="Arial"/>
    </font>
    <font>
      <sz val="10"/>
      <color theme="1"/>
      <name val="Arial"/>
    </font>
    <font>
      <sz val="10"/>
      <name val="Arial"/>
    </font>
    <font>
      <b/>
      <sz val="10"/>
      <color theme="1"/>
      <name val="Arial"/>
    </font>
    <font>
      <sz val="10"/>
      <color rgb="FF000000"/>
      <name val="Arial"/>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applyFont="1" applyAlignment="1"/>
    <xf numFmtId="0" fontId="1" fillId="0" borderId="0" xfId="0" applyFont="1" applyAlignment="1"/>
    <xf numFmtId="0" fontId="2" fillId="0" borderId="0" xfId="0" applyFont="1" applyAlignment="1">
      <alignment wrapText="1"/>
    </xf>
    <xf numFmtId="0" fontId="1" fillId="0" borderId="0" xfId="0" applyFont="1" applyAlignment="1"/>
    <xf numFmtId="0" fontId="0" fillId="0" borderId="0" xfId="0" applyFont="1" applyAlignment="1"/>
    <xf numFmtId="0" fontId="3" fillId="0" borderId="0" xfId="0" applyFont="1" applyAlignment="1">
      <alignment horizontal="center" vertical="center"/>
    </xf>
    <xf numFmtId="0" fontId="1" fillId="0" borderId="0" xfId="0" applyFont="1" applyAlignment="1">
      <alignment horizontal="center" vertical="center"/>
    </xf>
    <xf numFmtId="0" fontId="0" fillId="0" borderId="0" xfId="0" applyFont="1" applyAlignment="1">
      <alignment horizontal="center" vertical="center"/>
    </xf>
    <xf numFmtId="164" fontId="1" fillId="0" borderId="0" xfId="0" applyNumberFormat="1" applyFont="1" applyAlignment="1">
      <alignment horizontal="center" vertical="center"/>
    </xf>
    <xf numFmtId="0" fontId="0" fillId="0" borderId="0" xfId="0" applyFont="1" applyAlignment="1">
      <alignment horizontal="center"/>
    </xf>
    <xf numFmtId="0" fontId="4" fillId="0" borderId="0" xfId="0" applyFont="1" applyAlignment="1">
      <alignment horizontal="center" wrapText="1"/>
    </xf>
  </cellXfs>
  <cellStyles count="1">
    <cellStyle name="Обычный" xfId="0" builtinId="0"/>
  </cellStyles>
  <dxfs count="25">
    <dxf>
      <fill>
        <patternFill>
          <bgColor rgb="FF7030A0"/>
        </patternFill>
      </fill>
    </dxf>
    <dxf>
      <fill>
        <patternFill>
          <bgColor theme="5" tint="0.39994506668294322"/>
        </patternFill>
      </fill>
    </dxf>
    <dxf>
      <fill>
        <patternFill>
          <bgColor theme="7" tint="0.79998168889431442"/>
        </patternFill>
      </fill>
    </dxf>
    <dxf>
      <fill>
        <patternFill>
          <bgColor theme="7"/>
        </patternFill>
      </fill>
    </dxf>
    <dxf>
      <fill>
        <patternFill>
          <bgColor rgb="FFFF0000"/>
        </patternFill>
      </fill>
    </dxf>
    <dxf>
      <fill>
        <patternFill>
          <bgColor theme="7"/>
        </patternFill>
      </fill>
    </dxf>
    <dxf>
      <fill>
        <patternFill>
          <bgColor theme="7" tint="0.79998168889431442"/>
        </patternFill>
      </fill>
    </dxf>
    <dxf>
      <fill>
        <patternFill>
          <bgColor theme="5" tint="0.39994506668294322"/>
        </patternFill>
      </fill>
    </dxf>
    <dxf>
      <fill>
        <patternFill>
          <bgColor rgb="FF7030A0"/>
        </patternFill>
      </fill>
    </dxf>
    <dxf>
      <fill>
        <patternFill>
          <bgColor theme="5" tint="0.39994506668294322"/>
        </patternFill>
      </fill>
    </dxf>
    <dxf>
      <fill>
        <patternFill>
          <bgColor theme="7" tint="0.79998168889431442"/>
        </patternFill>
      </fill>
    </dxf>
    <dxf>
      <fill>
        <patternFill>
          <bgColor theme="7"/>
        </patternFill>
      </fill>
    </dxf>
    <dxf>
      <fill>
        <patternFill>
          <bgColor theme="7" tint="0.79998168889431442"/>
        </patternFill>
      </fill>
    </dxf>
    <dxf>
      <fill>
        <patternFill>
          <bgColor theme="7"/>
        </patternFill>
      </fill>
    </dxf>
    <dxf>
      <fill>
        <patternFill>
          <bgColor theme="7"/>
        </patternFill>
      </fill>
    </dxf>
    <dxf>
      <fill>
        <patternFill>
          <bgColor theme="6"/>
        </patternFill>
      </fill>
    </dxf>
    <dxf>
      <font>
        <b/>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164" formatCode="[$-F400]h:mm:ss\ AM/PM"/>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25EE2B-CA40-4E42-96B4-806A1528137A}" name="Таблица1" displayName="Таблица1" ref="A1:G115" totalsRowShown="0" headerRowDxfId="16" dataDxfId="17">
  <autoFilter ref="A1:G115" xr:uid="{B38A1993-C926-435B-8732-7B5216DE3A4D}"/>
  <sortState ref="A2:G115">
    <sortCondition ref="G1:G115"/>
  </sortState>
  <tableColumns count="7">
    <tableColumn id="1" xr3:uid="{BC87790D-E230-4DF0-AF14-201AA6B8E772}" name="ID вебмастера" dataDxfId="24"/>
    <tableColumn id="2" xr3:uid="{300B9AA4-7C8F-4B1B-8D72-1211362B5893}" name="Статус" dataDxfId="23"/>
    <tableColumn id="3" xr3:uid="{63DA35FA-095F-4734-9202-5F77DCE607E9}" name="ФИО" dataDxfId="22"/>
    <tableColumn id="4" xr3:uid="{EB472202-C0FB-4D56-AA83-0B0C9BD1C59C}" name="Телефон" dataDxfId="21"/>
    <tableColumn id="5" xr3:uid="{1EBD4913-FA81-46D0-9FDD-5F9CEFE87932}" name="IP Адрес" dataDxfId="20"/>
    <tableColumn id="6" xr3:uid="{B7B501BB-C517-40F9-9929-6FFE2A0E94E9}" name="Время заказа" dataDxfId="19"/>
    <tableColumn id="7" xr3:uid="{668C5CAA-C0BF-4ED7-862A-1B4E434A1784}" name="User Agent" dataDxfId="1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F16"/>
  <sheetViews>
    <sheetView workbookViewId="0">
      <selection activeCell="B19" sqref="B19"/>
    </sheetView>
  </sheetViews>
  <sheetFormatPr defaultColWidth="14.42578125" defaultRowHeight="15.75" customHeight="1" x14ac:dyDescent="0.2"/>
  <cols>
    <col min="2" max="2" width="194.5703125" bestFit="1" customWidth="1"/>
  </cols>
  <sheetData>
    <row r="1" spans="2:6" x14ac:dyDescent="0.2">
      <c r="B1" s="3" t="s">
        <v>0</v>
      </c>
      <c r="C1" s="4"/>
      <c r="D1" s="4"/>
      <c r="E1" s="4"/>
      <c r="F1" s="4"/>
    </row>
    <row r="2" spans="2:6" x14ac:dyDescent="0.2">
      <c r="B2" s="1" t="s">
        <v>1</v>
      </c>
    </row>
    <row r="4" spans="2:6" x14ac:dyDescent="0.2">
      <c r="B4" s="2" t="s">
        <v>2</v>
      </c>
    </row>
    <row r="5" spans="2:6" x14ac:dyDescent="0.2">
      <c r="B5" s="2" t="s">
        <v>3</v>
      </c>
    </row>
    <row r="7" spans="2:6" ht="15.75" customHeight="1" x14ac:dyDescent="0.2">
      <c r="B7" s="10" t="s">
        <v>377</v>
      </c>
    </row>
    <row r="8" spans="2:6" ht="15.75" customHeight="1" x14ac:dyDescent="0.2">
      <c r="B8" s="9"/>
    </row>
    <row r="9" spans="2:6" ht="15.75" customHeight="1" x14ac:dyDescent="0.2">
      <c r="B9" s="9"/>
    </row>
    <row r="10" spans="2:6" ht="15.75" customHeight="1" x14ac:dyDescent="0.2">
      <c r="B10" s="9"/>
    </row>
    <row r="11" spans="2:6" ht="15.75" customHeight="1" x14ac:dyDescent="0.2">
      <c r="B11" s="9"/>
    </row>
    <row r="12" spans="2:6" ht="15.75" customHeight="1" x14ac:dyDescent="0.2">
      <c r="B12" s="9"/>
    </row>
    <row r="13" spans="2:6" ht="15.75" customHeight="1" x14ac:dyDescent="0.2">
      <c r="B13" s="9"/>
    </row>
    <row r="14" spans="2:6" ht="15.75" customHeight="1" x14ac:dyDescent="0.2">
      <c r="B14" s="9"/>
    </row>
    <row r="15" spans="2:6" ht="15.75" customHeight="1" x14ac:dyDescent="0.2">
      <c r="B15" s="9"/>
    </row>
    <row r="16" spans="2:6" ht="15.75" customHeight="1" x14ac:dyDescent="0.2">
      <c r="B16" s="9"/>
    </row>
  </sheetData>
  <mergeCells count="2">
    <mergeCell ref="B1:F1"/>
    <mergeCell ref="B7:B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6"/>
  <sheetViews>
    <sheetView tabSelected="1" workbookViewId="0">
      <pane ySplit="1" topLeftCell="A2" activePane="bottomLeft" state="frozen"/>
      <selection pane="bottomLeft" activeCell="I13" sqref="I13"/>
    </sheetView>
  </sheetViews>
  <sheetFormatPr defaultColWidth="14.42578125" defaultRowHeight="15.75" customHeight="1" x14ac:dyDescent="0.2"/>
  <cols>
    <col min="1" max="1" width="16.7109375" customWidth="1"/>
    <col min="3" max="3" width="32.7109375" customWidth="1"/>
    <col min="4" max="4" width="27.5703125" customWidth="1"/>
    <col min="5" max="5" width="27.28515625" customWidth="1"/>
    <col min="6" max="6" width="30.5703125" customWidth="1"/>
    <col min="7" max="7" width="63.42578125" customWidth="1"/>
  </cols>
  <sheetData>
    <row r="1" spans="1:7" x14ac:dyDescent="0.2">
      <c r="A1" s="5" t="s">
        <v>4</v>
      </c>
      <c r="B1" s="5" t="s">
        <v>5</v>
      </c>
      <c r="C1" s="5" t="s">
        <v>6</v>
      </c>
      <c r="D1" s="5" t="s">
        <v>7</v>
      </c>
      <c r="E1" s="5" t="s">
        <v>8</v>
      </c>
      <c r="F1" s="5" t="s">
        <v>9</v>
      </c>
      <c r="G1" s="5" t="s">
        <v>10</v>
      </c>
    </row>
    <row r="2" spans="1:7" x14ac:dyDescent="0.2">
      <c r="A2" s="6">
        <v>1</v>
      </c>
      <c r="B2" s="6" t="s">
        <v>16</v>
      </c>
      <c r="C2" s="6" t="s">
        <v>87</v>
      </c>
      <c r="D2" s="6">
        <v>9103123331</v>
      </c>
      <c r="E2" s="6" t="s">
        <v>88</v>
      </c>
      <c r="F2" s="8" t="s">
        <v>89</v>
      </c>
      <c r="G2" s="6" t="s">
        <v>90</v>
      </c>
    </row>
    <row r="3" spans="1:7" x14ac:dyDescent="0.2">
      <c r="A3" s="6">
        <v>3</v>
      </c>
      <c r="B3" s="6" t="s">
        <v>16</v>
      </c>
      <c r="C3" s="6" t="s">
        <v>371</v>
      </c>
      <c r="D3" s="6">
        <f>79031841637</f>
        <v>79031841637</v>
      </c>
      <c r="E3" s="6" t="s">
        <v>372</v>
      </c>
      <c r="F3" s="8" t="s">
        <v>373</v>
      </c>
      <c r="G3" s="6" t="s">
        <v>90</v>
      </c>
    </row>
    <row r="4" spans="1:7" x14ac:dyDescent="0.2">
      <c r="A4" s="6">
        <v>5</v>
      </c>
      <c r="B4" s="6" t="s">
        <v>11</v>
      </c>
      <c r="C4" s="6" t="s">
        <v>288</v>
      </c>
      <c r="D4" s="6">
        <v>9589822092</v>
      </c>
      <c r="E4" s="6" t="s">
        <v>289</v>
      </c>
      <c r="F4" s="8" t="s">
        <v>101</v>
      </c>
      <c r="G4" s="6" t="s">
        <v>132</v>
      </c>
    </row>
    <row r="5" spans="1:7" x14ac:dyDescent="0.2">
      <c r="A5" s="6">
        <v>5</v>
      </c>
      <c r="B5" s="6" t="s">
        <v>16</v>
      </c>
      <c r="C5" s="6" t="s">
        <v>143</v>
      </c>
      <c r="D5" s="6">
        <f>79018124626</f>
        <v>79018124626</v>
      </c>
      <c r="E5" s="6" t="s">
        <v>144</v>
      </c>
      <c r="F5" s="8" t="s">
        <v>145</v>
      </c>
      <c r="G5" s="6" t="s">
        <v>132</v>
      </c>
    </row>
    <row r="6" spans="1:7" x14ac:dyDescent="0.2">
      <c r="A6" s="6">
        <v>1</v>
      </c>
      <c r="B6" s="6" t="s">
        <v>16</v>
      </c>
      <c r="C6" s="6" t="s">
        <v>130</v>
      </c>
      <c r="D6" s="6">
        <f>79534603265</f>
        <v>79534603265</v>
      </c>
      <c r="E6" s="6" t="s">
        <v>131</v>
      </c>
      <c r="F6" s="8" t="s">
        <v>43</v>
      </c>
      <c r="G6" s="6" t="s">
        <v>132</v>
      </c>
    </row>
    <row r="7" spans="1:7" x14ac:dyDescent="0.2">
      <c r="A7" s="6">
        <v>4</v>
      </c>
      <c r="B7" s="6" t="s">
        <v>16</v>
      </c>
      <c r="C7" s="6" t="s">
        <v>264</v>
      </c>
      <c r="D7" s="6">
        <v>89031849133</v>
      </c>
      <c r="E7" s="6" t="s">
        <v>265</v>
      </c>
      <c r="F7" s="8" t="s">
        <v>266</v>
      </c>
      <c r="G7" s="6" t="s">
        <v>132</v>
      </c>
    </row>
    <row r="8" spans="1:7" x14ac:dyDescent="0.2">
      <c r="A8" s="6">
        <v>4</v>
      </c>
      <c r="B8" s="6" t="s">
        <v>11</v>
      </c>
      <c r="C8" s="6" t="s">
        <v>222</v>
      </c>
      <c r="D8" s="6">
        <f>79305115684</f>
        <v>79305115684</v>
      </c>
      <c r="E8" s="6" t="s">
        <v>223</v>
      </c>
      <c r="F8" s="8" t="s">
        <v>224</v>
      </c>
      <c r="G8" s="6" t="s">
        <v>225</v>
      </c>
    </row>
    <row r="9" spans="1:7" x14ac:dyDescent="0.2">
      <c r="A9" s="6">
        <v>6</v>
      </c>
      <c r="B9" s="6" t="s">
        <v>11</v>
      </c>
      <c r="C9" s="6" t="s">
        <v>357</v>
      </c>
      <c r="D9" s="6">
        <v>89393684328</v>
      </c>
      <c r="E9" s="6" t="s">
        <v>358</v>
      </c>
      <c r="F9" s="8" t="s">
        <v>43</v>
      </c>
      <c r="G9" s="6" t="s">
        <v>359</v>
      </c>
    </row>
    <row r="10" spans="1:7" x14ac:dyDescent="0.2">
      <c r="A10" s="6">
        <v>2</v>
      </c>
      <c r="B10" s="6" t="s">
        <v>16</v>
      </c>
      <c r="C10" s="6" t="s">
        <v>169</v>
      </c>
      <c r="D10" s="6">
        <v>9103155186</v>
      </c>
      <c r="E10" s="6" t="s">
        <v>170</v>
      </c>
      <c r="F10" s="8" t="s">
        <v>171</v>
      </c>
      <c r="G10" s="6" t="s">
        <v>172</v>
      </c>
    </row>
    <row r="11" spans="1:7" x14ac:dyDescent="0.2">
      <c r="A11" s="6">
        <v>2</v>
      </c>
      <c r="B11" s="6" t="s">
        <v>11</v>
      </c>
      <c r="C11" s="6" t="s">
        <v>325</v>
      </c>
      <c r="D11" s="6">
        <f>79655832166</f>
        <v>79655832166</v>
      </c>
      <c r="E11" s="6" t="s">
        <v>326</v>
      </c>
      <c r="F11" s="8" t="s">
        <v>327</v>
      </c>
      <c r="G11" s="6" t="s">
        <v>106</v>
      </c>
    </row>
    <row r="12" spans="1:7" x14ac:dyDescent="0.2">
      <c r="A12" s="6">
        <v>3</v>
      </c>
      <c r="B12" s="6" t="s">
        <v>11</v>
      </c>
      <c r="C12" s="6" t="s">
        <v>103</v>
      </c>
      <c r="D12" s="6">
        <f>79804907427</f>
        <v>79804907427</v>
      </c>
      <c r="E12" s="6" t="s">
        <v>104</v>
      </c>
      <c r="F12" s="8" t="s">
        <v>105</v>
      </c>
      <c r="G12" s="6" t="s">
        <v>106</v>
      </c>
    </row>
    <row r="13" spans="1:7" x14ac:dyDescent="0.2">
      <c r="A13" s="6">
        <v>5</v>
      </c>
      <c r="B13" s="6" t="s">
        <v>16</v>
      </c>
      <c r="C13" s="6" t="s">
        <v>95</v>
      </c>
      <c r="D13" s="6">
        <f>79588726228</f>
        <v>79588726228</v>
      </c>
      <c r="E13" s="6" t="s">
        <v>96</v>
      </c>
      <c r="F13" s="8" t="s">
        <v>97</v>
      </c>
      <c r="G13" s="6" t="s">
        <v>98</v>
      </c>
    </row>
    <row r="14" spans="1:7" x14ac:dyDescent="0.2">
      <c r="A14" s="6">
        <v>1</v>
      </c>
      <c r="B14" s="6" t="s">
        <v>16</v>
      </c>
      <c r="C14" s="6" t="s">
        <v>247</v>
      </c>
      <c r="D14" s="6">
        <v>89345042032</v>
      </c>
      <c r="E14" s="6" t="s">
        <v>248</v>
      </c>
      <c r="F14" s="8" t="s">
        <v>249</v>
      </c>
      <c r="G14" s="6" t="s">
        <v>98</v>
      </c>
    </row>
    <row r="15" spans="1:7" x14ac:dyDescent="0.2">
      <c r="A15" s="6">
        <v>5</v>
      </c>
      <c r="B15" s="6" t="s">
        <v>11</v>
      </c>
      <c r="C15" s="6" t="s">
        <v>242</v>
      </c>
      <c r="D15" s="6">
        <v>89559702183</v>
      </c>
      <c r="E15" s="6" t="s">
        <v>243</v>
      </c>
      <c r="F15" s="8" t="s">
        <v>244</v>
      </c>
      <c r="G15" s="6" t="s">
        <v>162</v>
      </c>
    </row>
    <row r="16" spans="1:7" x14ac:dyDescent="0.2">
      <c r="A16" s="6">
        <v>4</v>
      </c>
      <c r="B16" s="6" t="s">
        <v>11</v>
      </c>
      <c r="C16" s="6" t="s">
        <v>159</v>
      </c>
      <c r="D16" s="6">
        <v>89041466782</v>
      </c>
      <c r="E16" s="6" t="s">
        <v>160</v>
      </c>
      <c r="F16" s="8" t="s">
        <v>161</v>
      </c>
      <c r="G16" s="6" t="s">
        <v>162</v>
      </c>
    </row>
    <row r="17" spans="1:7" x14ac:dyDescent="0.2">
      <c r="A17" s="6">
        <v>2</v>
      </c>
      <c r="B17" s="6" t="s">
        <v>11</v>
      </c>
      <c r="C17" s="6" t="s">
        <v>292</v>
      </c>
      <c r="D17" s="6">
        <v>9016299261</v>
      </c>
      <c r="E17" s="6" t="s">
        <v>293</v>
      </c>
      <c r="F17" s="8" t="s">
        <v>294</v>
      </c>
      <c r="G17" s="6" t="s">
        <v>126</v>
      </c>
    </row>
    <row r="18" spans="1:7" x14ac:dyDescent="0.2">
      <c r="A18" s="6">
        <v>2</v>
      </c>
      <c r="B18" s="6" t="s">
        <v>11</v>
      </c>
      <c r="C18" s="6" t="s">
        <v>322</v>
      </c>
      <c r="D18" s="6">
        <f>79957250828</f>
        <v>79957250828</v>
      </c>
      <c r="E18" s="6" t="s">
        <v>323</v>
      </c>
      <c r="F18" s="8" t="s">
        <v>324</v>
      </c>
      <c r="G18" s="6" t="s">
        <v>126</v>
      </c>
    </row>
    <row r="19" spans="1:7" x14ac:dyDescent="0.2">
      <c r="A19" s="6">
        <v>5</v>
      </c>
      <c r="B19" s="6" t="s">
        <v>16</v>
      </c>
      <c r="C19" s="6" t="s">
        <v>332</v>
      </c>
      <c r="D19" s="6">
        <f>79119541291</f>
        <v>79119541291</v>
      </c>
      <c r="E19" s="6" t="s">
        <v>333</v>
      </c>
      <c r="F19" s="8" t="s">
        <v>249</v>
      </c>
      <c r="G19" s="6" t="s">
        <v>126</v>
      </c>
    </row>
    <row r="20" spans="1:7" x14ac:dyDescent="0.2">
      <c r="A20" s="6">
        <v>4</v>
      </c>
      <c r="B20" s="6" t="s">
        <v>16</v>
      </c>
      <c r="C20" s="6" t="s">
        <v>123</v>
      </c>
      <c r="D20" s="6">
        <v>89031846334</v>
      </c>
      <c r="E20" s="6" t="s">
        <v>124</v>
      </c>
      <c r="F20" s="8" t="s">
        <v>125</v>
      </c>
      <c r="G20" s="6" t="s">
        <v>126</v>
      </c>
    </row>
    <row r="21" spans="1:7" x14ac:dyDescent="0.2">
      <c r="A21" s="6">
        <v>3</v>
      </c>
      <c r="B21" s="6" t="s">
        <v>16</v>
      </c>
      <c r="C21" s="6" t="s">
        <v>176</v>
      </c>
      <c r="D21" s="6">
        <v>89031849169</v>
      </c>
      <c r="E21" s="6" t="s">
        <v>177</v>
      </c>
      <c r="F21" s="8" t="s">
        <v>178</v>
      </c>
      <c r="G21" s="6" t="s">
        <v>179</v>
      </c>
    </row>
    <row r="22" spans="1:7" x14ac:dyDescent="0.2">
      <c r="A22" s="6">
        <v>4</v>
      </c>
      <c r="B22" s="6" t="s">
        <v>16</v>
      </c>
      <c r="C22" s="6" t="s">
        <v>205</v>
      </c>
      <c r="D22" s="6">
        <v>89031849662</v>
      </c>
      <c r="E22" s="6" t="s">
        <v>206</v>
      </c>
      <c r="F22" s="8" t="s">
        <v>207</v>
      </c>
      <c r="G22" s="6" t="s">
        <v>208</v>
      </c>
    </row>
    <row r="23" spans="1:7" x14ac:dyDescent="0.2">
      <c r="A23" s="6">
        <v>4</v>
      </c>
      <c r="B23" s="6" t="s">
        <v>16</v>
      </c>
      <c r="C23" s="6" t="s">
        <v>213</v>
      </c>
      <c r="D23" s="6">
        <f>79031848259</f>
        <v>79031848259</v>
      </c>
      <c r="E23" s="6" t="s">
        <v>214</v>
      </c>
      <c r="F23" s="8" t="s">
        <v>215</v>
      </c>
      <c r="G23" s="6" t="s">
        <v>208</v>
      </c>
    </row>
    <row r="24" spans="1:7" x14ac:dyDescent="0.2">
      <c r="A24" s="6">
        <v>6</v>
      </c>
      <c r="B24" s="6" t="s">
        <v>11</v>
      </c>
      <c r="C24" s="6" t="s">
        <v>318</v>
      </c>
      <c r="D24" s="6">
        <v>9336909135</v>
      </c>
      <c r="E24" s="6" t="s">
        <v>319</v>
      </c>
      <c r="F24" s="8" t="s">
        <v>320</v>
      </c>
      <c r="G24" s="6" t="s">
        <v>321</v>
      </c>
    </row>
    <row r="25" spans="1:7" x14ac:dyDescent="0.2">
      <c r="A25" s="6">
        <v>4</v>
      </c>
      <c r="B25" s="6" t="s">
        <v>11</v>
      </c>
      <c r="C25" s="6" t="s">
        <v>328</v>
      </c>
      <c r="D25" s="6">
        <v>89508291478</v>
      </c>
      <c r="E25" s="6" t="s">
        <v>329</v>
      </c>
      <c r="F25" s="8" t="s">
        <v>330</v>
      </c>
      <c r="G25" s="6" t="s">
        <v>331</v>
      </c>
    </row>
    <row r="26" spans="1:7" x14ac:dyDescent="0.2">
      <c r="A26" s="6">
        <v>3</v>
      </c>
      <c r="B26" s="6" t="s">
        <v>11</v>
      </c>
      <c r="C26" s="6" t="s">
        <v>239</v>
      </c>
      <c r="D26" s="6">
        <f>79243926034</f>
        <v>79243926034</v>
      </c>
      <c r="E26" s="6" t="s">
        <v>240</v>
      </c>
      <c r="F26" s="8" t="s">
        <v>241</v>
      </c>
      <c r="G26" s="6" t="s">
        <v>59</v>
      </c>
    </row>
    <row r="27" spans="1:7" x14ac:dyDescent="0.2">
      <c r="A27" s="6">
        <v>3</v>
      </c>
      <c r="B27" s="6" t="s">
        <v>11</v>
      </c>
      <c r="C27" s="6" t="s">
        <v>236</v>
      </c>
      <c r="D27" s="6">
        <f>79857298578</f>
        <v>79857298578</v>
      </c>
      <c r="E27" s="6" t="s">
        <v>237</v>
      </c>
      <c r="F27" s="8" t="s">
        <v>238</v>
      </c>
      <c r="G27" s="6" t="s">
        <v>59</v>
      </c>
    </row>
    <row r="28" spans="1:7" x14ac:dyDescent="0.2">
      <c r="A28" s="6">
        <v>2</v>
      </c>
      <c r="B28" s="6" t="s">
        <v>16</v>
      </c>
      <c r="C28" s="6" t="s">
        <v>56</v>
      </c>
      <c r="D28" s="6">
        <v>9307446368</v>
      </c>
      <c r="E28" s="6" t="s">
        <v>57</v>
      </c>
      <c r="F28" s="8" t="s">
        <v>58</v>
      </c>
      <c r="G28" s="6" t="s">
        <v>59</v>
      </c>
    </row>
    <row r="29" spans="1:7" x14ac:dyDescent="0.2">
      <c r="A29" s="6">
        <v>2</v>
      </c>
      <c r="B29" s="6" t="s">
        <v>11</v>
      </c>
      <c r="C29" s="6" t="s">
        <v>187</v>
      </c>
      <c r="D29" s="6">
        <f>79635790394</f>
        <v>79635790394</v>
      </c>
      <c r="E29" s="6" t="s">
        <v>188</v>
      </c>
      <c r="F29" s="8" t="s">
        <v>189</v>
      </c>
      <c r="G29" s="6" t="s">
        <v>190</v>
      </c>
    </row>
    <row r="30" spans="1:7" x14ac:dyDescent="0.2">
      <c r="A30" s="6">
        <v>5</v>
      </c>
      <c r="B30" s="6" t="s">
        <v>16</v>
      </c>
      <c r="C30" s="6" t="s">
        <v>229</v>
      </c>
      <c r="D30" s="6">
        <f>79669664459</f>
        <v>79669664459</v>
      </c>
      <c r="E30" s="6" t="s">
        <v>230</v>
      </c>
      <c r="F30" s="8" t="s">
        <v>231</v>
      </c>
      <c r="G30" s="6" t="s">
        <v>190</v>
      </c>
    </row>
    <row r="31" spans="1:7" x14ac:dyDescent="0.2">
      <c r="A31" s="6">
        <v>3</v>
      </c>
      <c r="B31" s="6" t="s">
        <v>11</v>
      </c>
      <c r="C31" s="6" t="s">
        <v>216</v>
      </c>
      <c r="D31" s="6">
        <v>89918924845</v>
      </c>
      <c r="E31" s="6" t="s">
        <v>217</v>
      </c>
      <c r="F31" s="8" t="s">
        <v>218</v>
      </c>
      <c r="G31" s="6" t="s">
        <v>219</v>
      </c>
    </row>
    <row r="32" spans="1:7" x14ac:dyDescent="0.2">
      <c r="A32" s="6">
        <v>3</v>
      </c>
      <c r="B32" s="6" t="s">
        <v>11</v>
      </c>
      <c r="C32" s="6" t="s">
        <v>252</v>
      </c>
      <c r="D32" s="6">
        <v>9847652342</v>
      </c>
      <c r="E32" s="6" t="s">
        <v>253</v>
      </c>
      <c r="F32" s="8" t="s">
        <v>254</v>
      </c>
      <c r="G32" s="6" t="s">
        <v>255</v>
      </c>
    </row>
    <row r="33" spans="1:7" x14ac:dyDescent="0.2">
      <c r="A33" s="6">
        <v>1</v>
      </c>
      <c r="B33" s="6" t="s">
        <v>16</v>
      </c>
      <c r="C33" s="6" t="s">
        <v>367</v>
      </c>
      <c r="D33" s="6">
        <v>89831316691</v>
      </c>
      <c r="E33" s="6" t="s">
        <v>368</v>
      </c>
      <c r="F33" s="8" t="s">
        <v>122</v>
      </c>
      <c r="G33" s="6" t="s">
        <v>255</v>
      </c>
    </row>
    <row r="34" spans="1:7" x14ac:dyDescent="0.2">
      <c r="A34" s="6">
        <v>5</v>
      </c>
      <c r="B34" s="6" t="s">
        <v>16</v>
      </c>
      <c r="C34" s="6" t="s">
        <v>258</v>
      </c>
      <c r="D34" s="6">
        <f>79913657775</f>
        <v>79913657775</v>
      </c>
      <c r="E34" s="6" t="s">
        <v>259</v>
      </c>
      <c r="F34" s="8" t="s">
        <v>122</v>
      </c>
      <c r="G34" s="6" t="s">
        <v>260</v>
      </c>
    </row>
    <row r="35" spans="1:7" x14ac:dyDescent="0.2">
      <c r="A35" s="6">
        <v>4</v>
      </c>
      <c r="B35" s="6" t="s">
        <v>11</v>
      </c>
      <c r="C35" s="6" t="s">
        <v>107</v>
      </c>
      <c r="D35" s="6">
        <v>89969788828</v>
      </c>
      <c r="E35" s="6" t="s">
        <v>108</v>
      </c>
      <c r="F35" s="8" t="s">
        <v>109</v>
      </c>
      <c r="G35" s="6" t="s">
        <v>110</v>
      </c>
    </row>
    <row r="36" spans="1:7" x14ac:dyDescent="0.2">
      <c r="A36" s="6">
        <v>3</v>
      </c>
      <c r="B36" s="6" t="s">
        <v>11</v>
      </c>
      <c r="C36" s="6" t="s">
        <v>163</v>
      </c>
      <c r="D36" s="6">
        <v>89932009108</v>
      </c>
      <c r="E36" s="6" t="s">
        <v>164</v>
      </c>
      <c r="F36" s="8" t="s">
        <v>165</v>
      </c>
      <c r="G36" s="6" t="s">
        <v>110</v>
      </c>
    </row>
    <row r="37" spans="1:7" x14ac:dyDescent="0.2">
      <c r="A37" s="6">
        <v>5</v>
      </c>
      <c r="B37" s="6" t="s">
        <v>11</v>
      </c>
      <c r="C37" s="6" t="s">
        <v>64</v>
      </c>
      <c r="D37" s="6">
        <v>9524345882</v>
      </c>
      <c r="E37" s="6" t="s">
        <v>65</v>
      </c>
      <c r="F37" s="8" t="s">
        <v>66</v>
      </c>
      <c r="G37" s="6" t="s">
        <v>44</v>
      </c>
    </row>
    <row r="38" spans="1:7" x14ac:dyDescent="0.2">
      <c r="A38" s="6">
        <v>5</v>
      </c>
      <c r="B38" s="6" t="s">
        <v>11</v>
      </c>
      <c r="C38" s="6" t="s">
        <v>41</v>
      </c>
      <c r="D38" s="6">
        <v>9514197870</v>
      </c>
      <c r="E38" s="6" t="s">
        <v>42</v>
      </c>
      <c r="F38" s="8" t="s">
        <v>43</v>
      </c>
      <c r="G38" s="6" t="s">
        <v>44</v>
      </c>
    </row>
    <row r="39" spans="1:7" x14ac:dyDescent="0.2">
      <c r="A39" s="6">
        <v>3</v>
      </c>
      <c r="B39" s="6" t="s">
        <v>16</v>
      </c>
      <c r="C39" s="6" t="s">
        <v>133</v>
      </c>
      <c r="D39" s="6">
        <f>79031848858</f>
        <v>79031848858</v>
      </c>
      <c r="E39" s="6" t="s">
        <v>134</v>
      </c>
      <c r="F39" s="8" t="s">
        <v>135</v>
      </c>
      <c r="G39" s="6" t="s">
        <v>44</v>
      </c>
    </row>
    <row r="40" spans="1:7" x14ac:dyDescent="0.2">
      <c r="A40" s="6">
        <v>2</v>
      </c>
      <c r="B40" s="6" t="s">
        <v>16</v>
      </c>
      <c r="C40" s="6" t="s">
        <v>310</v>
      </c>
      <c r="D40" s="6">
        <f>79918535883</f>
        <v>79918535883</v>
      </c>
      <c r="E40" s="6" t="s">
        <v>311</v>
      </c>
      <c r="F40" s="8" t="s">
        <v>312</v>
      </c>
      <c r="G40" s="6" t="s">
        <v>44</v>
      </c>
    </row>
    <row r="41" spans="1:7" x14ac:dyDescent="0.2">
      <c r="A41" s="6">
        <v>3</v>
      </c>
      <c r="B41" s="6" t="s">
        <v>11</v>
      </c>
      <c r="C41" s="6" t="s">
        <v>79</v>
      </c>
      <c r="D41" s="6">
        <v>9969824843</v>
      </c>
      <c r="E41" s="6" t="s">
        <v>80</v>
      </c>
      <c r="F41" s="8" t="s">
        <v>81</v>
      </c>
      <c r="G41" s="6" t="s">
        <v>82</v>
      </c>
    </row>
    <row r="42" spans="1:7" x14ac:dyDescent="0.2">
      <c r="A42" s="6">
        <v>1</v>
      </c>
      <c r="B42" s="6" t="s">
        <v>16</v>
      </c>
      <c r="C42" s="6" t="s">
        <v>198</v>
      </c>
      <c r="D42" s="6">
        <v>9586437046</v>
      </c>
      <c r="E42" s="6" t="s">
        <v>199</v>
      </c>
      <c r="F42" s="8" t="s">
        <v>31</v>
      </c>
      <c r="G42" s="6" t="s">
        <v>74</v>
      </c>
    </row>
    <row r="43" spans="1:7" x14ac:dyDescent="0.2">
      <c r="A43" s="6">
        <v>2</v>
      </c>
      <c r="B43" s="6" t="s">
        <v>16</v>
      </c>
      <c r="C43" s="6" t="s">
        <v>71</v>
      </c>
      <c r="D43" s="6">
        <v>89551537402</v>
      </c>
      <c r="E43" s="6" t="s">
        <v>72</v>
      </c>
      <c r="F43" s="8" t="s">
        <v>73</v>
      </c>
      <c r="G43" s="6" t="s">
        <v>74</v>
      </c>
    </row>
    <row r="44" spans="1:7" x14ac:dyDescent="0.2">
      <c r="A44" s="6">
        <v>1</v>
      </c>
      <c r="B44" s="6" t="s">
        <v>16</v>
      </c>
      <c r="C44" s="6" t="s">
        <v>99</v>
      </c>
      <c r="D44" s="6">
        <v>89914333566</v>
      </c>
      <c r="E44" s="6" t="s">
        <v>100</v>
      </c>
      <c r="F44" s="8" t="s">
        <v>101</v>
      </c>
      <c r="G44" s="6" t="s">
        <v>102</v>
      </c>
    </row>
    <row r="45" spans="1:7" x14ac:dyDescent="0.2">
      <c r="A45" s="6">
        <v>4</v>
      </c>
      <c r="B45" s="6" t="s">
        <v>16</v>
      </c>
      <c r="C45" s="6" t="s">
        <v>202</v>
      </c>
      <c r="D45" s="6">
        <f>79031841697</f>
        <v>79031841697</v>
      </c>
      <c r="E45" s="6" t="s">
        <v>203</v>
      </c>
      <c r="F45" s="8" t="s">
        <v>204</v>
      </c>
      <c r="G45" s="6" t="s">
        <v>102</v>
      </c>
    </row>
    <row r="46" spans="1:7" x14ac:dyDescent="0.2">
      <c r="A46" s="6">
        <v>5</v>
      </c>
      <c r="B46" s="6" t="s">
        <v>11</v>
      </c>
      <c r="C46" s="6" t="s">
        <v>182</v>
      </c>
      <c r="D46" s="6">
        <v>89238998127</v>
      </c>
      <c r="E46" s="6" t="s">
        <v>183</v>
      </c>
      <c r="F46" s="8" t="s">
        <v>184</v>
      </c>
      <c r="G46" s="6" t="s">
        <v>20</v>
      </c>
    </row>
    <row r="47" spans="1:7" x14ac:dyDescent="0.2">
      <c r="A47" s="6">
        <v>1</v>
      </c>
      <c r="B47" s="6" t="s">
        <v>16</v>
      </c>
      <c r="C47" s="6" t="s">
        <v>17</v>
      </c>
      <c r="D47" s="6">
        <v>9786540536</v>
      </c>
      <c r="E47" s="6" t="s">
        <v>18</v>
      </c>
      <c r="F47" s="8" t="s">
        <v>19</v>
      </c>
      <c r="G47" s="6" t="s">
        <v>20</v>
      </c>
    </row>
    <row r="48" spans="1:7" x14ac:dyDescent="0.2">
      <c r="A48" s="6">
        <v>4</v>
      </c>
      <c r="B48" s="6" t="s">
        <v>11</v>
      </c>
      <c r="C48" s="6" t="s">
        <v>232</v>
      </c>
      <c r="D48" s="6">
        <v>9958379721</v>
      </c>
      <c r="E48" s="6" t="s">
        <v>233</v>
      </c>
      <c r="F48" s="8" t="s">
        <v>234</v>
      </c>
      <c r="G48" s="6" t="s">
        <v>235</v>
      </c>
    </row>
    <row r="49" spans="1:7" x14ac:dyDescent="0.2">
      <c r="A49" s="6">
        <v>5</v>
      </c>
      <c r="B49" s="6" t="s">
        <v>11</v>
      </c>
      <c r="C49" s="6" t="s">
        <v>342</v>
      </c>
      <c r="D49" s="6">
        <v>89869438455</v>
      </c>
      <c r="E49" s="6" t="s">
        <v>343</v>
      </c>
      <c r="F49" s="8" t="s">
        <v>14</v>
      </c>
      <c r="G49" s="6" t="s">
        <v>235</v>
      </c>
    </row>
    <row r="50" spans="1:7" x14ac:dyDescent="0.2">
      <c r="A50" s="6">
        <v>1</v>
      </c>
      <c r="B50" s="6" t="s">
        <v>16</v>
      </c>
      <c r="C50" s="6" t="s">
        <v>300</v>
      </c>
      <c r="D50" s="6">
        <f>79312529817</f>
        <v>79312529817</v>
      </c>
      <c r="E50" s="6" t="s">
        <v>301</v>
      </c>
      <c r="F50" s="8" t="s">
        <v>97</v>
      </c>
      <c r="G50" s="6" t="s">
        <v>235</v>
      </c>
    </row>
    <row r="51" spans="1:7" x14ac:dyDescent="0.2">
      <c r="A51" s="6">
        <v>3</v>
      </c>
      <c r="B51" s="6" t="s">
        <v>11</v>
      </c>
      <c r="C51" s="6" t="s">
        <v>166</v>
      </c>
      <c r="D51" s="6">
        <v>89783903530</v>
      </c>
      <c r="E51" s="6" t="s">
        <v>167</v>
      </c>
      <c r="F51" s="8" t="s">
        <v>168</v>
      </c>
      <c r="G51" s="6" t="s">
        <v>116</v>
      </c>
    </row>
    <row r="52" spans="1:7" x14ac:dyDescent="0.2">
      <c r="A52" s="6">
        <v>5</v>
      </c>
      <c r="B52" s="6" t="s">
        <v>11</v>
      </c>
      <c r="C52" s="6" t="s">
        <v>297</v>
      </c>
      <c r="D52" s="6">
        <v>89021579772</v>
      </c>
      <c r="E52" s="6" t="s">
        <v>298</v>
      </c>
      <c r="F52" s="8" t="s">
        <v>299</v>
      </c>
      <c r="G52" s="6" t="s">
        <v>116</v>
      </c>
    </row>
    <row r="53" spans="1:7" x14ac:dyDescent="0.2">
      <c r="A53" s="6">
        <v>6</v>
      </c>
      <c r="B53" s="6" t="s">
        <v>16</v>
      </c>
      <c r="C53" s="6" t="s">
        <v>277</v>
      </c>
      <c r="D53" s="6">
        <v>9584412023</v>
      </c>
      <c r="E53" s="6" t="s">
        <v>278</v>
      </c>
      <c r="F53" s="8" t="s">
        <v>145</v>
      </c>
      <c r="G53" s="6" t="s">
        <v>116</v>
      </c>
    </row>
    <row r="54" spans="1:7" x14ac:dyDescent="0.2">
      <c r="A54" s="6">
        <v>6</v>
      </c>
      <c r="B54" s="6" t="s">
        <v>16</v>
      </c>
      <c r="C54" s="6" t="s">
        <v>245</v>
      </c>
      <c r="D54" s="6">
        <f>79309785255</f>
        <v>79309785255</v>
      </c>
      <c r="E54" s="6" t="s">
        <v>246</v>
      </c>
      <c r="F54" s="8" t="s">
        <v>231</v>
      </c>
      <c r="G54" s="6" t="s">
        <v>116</v>
      </c>
    </row>
    <row r="55" spans="1:7" x14ac:dyDescent="0.2">
      <c r="A55" s="6">
        <v>6</v>
      </c>
      <c r="B55" s="6" t="s">
        <v>16</v>
      </c>
      <c r="C55" s="6" t="s">
        <v>114</v>
      </c>
      <c r="D55" s="6">
        <f>79158323768</f>
        <v>79158323768</v>
      </c>
      <c r="E55" s="6" t="s">
        <v>115</v>
      </c>
      <c r="F55" s="8" t="s">
        <v>31</v>
      </c>
      <c r="G55" s="6" t="s">
        <v>116</v>
      </c>
    </row>
    <row r="56" spans="1:7" x14ac:dyDescent="0.2">
      <c r="A56" s="6">
        <v>6</v>
      </c>
      <c r="B56" s="6" t="s">
        <v>16</v>
      </c>
      <c r="C56" s="6" t="s">
        <v>283</v>
      </c>
      <c r="D56" s="6">
        <f>79337135916</f>
        <v>79337135916</v>
      </c>
      <c r="E56" s="6" t="s">
        <v>284</v>
      </c>
      <c r="F56" s="8" t="s">
        <v>141</v>
      </c>
      <c r="G56" s="6" t="s">
        <v>116</v>
      </c>
    </row>
    <row r="57" spans="1:7" x14ac:dyDescent="0.2">
      <c r="A57" s="6">
        <v>6</v>
      </c>
      <c r="B57" s="6" t="s">
        <v>16</v>
      </c>
      <c r="C57" s="6" t="s">
        <v>360</v>
      </c>
      <c r="D57" s="6">
        <f>79333977098</f>
        <v>79333977098</v>
      </c>
      <c r="E57" s="6" t="s">
        <v>361</v>
      </c>
      <c r="F57" s="8" t="s">
        <v>249</v>
      </c>
      <c r="G57" s="6" t="s">
        <v>116</v>
      </c>
    </row>
    <row r="58" spans="1:7" x14ac:dyDescent="0.2">
      <c r="A58" s="6">
        <v>6</v>
      </c>
      <c r="B58" s="6" t="s">
        <v>16</v>
      </c>
      <c r="C58" s="6" t="s">
        <v>173</v>
      </c>
      <c r="D58" s="6">
        <v>89013208756</v>
      </c>
      <c r="E58" s="6" t="s">
        <v>174</v>
      </c>
      <c r="F58" s="8" t="s">
        <v>175</v>
      </c>
      <c r="G58" s="6" t="s">
        <v>116</v>
      </c>
    </row>
    <row r="59" spans="1:7" x14ac:dyDescent="0.2">
      <c r="A59" s="6">
        <v>6</v>
      </c>
      <c r="B59" s="6" t="s">
        <v>16</v>
      </c>
      <c r="C59" s="6" t="s">
        <v>220</v>
      </c>
      <c r="D59" s="6">
        <v>89024499860</v>
      </c>
      <c r="E59" s="6" t="s">
        <v>221</v>
      </c>
      <c r="F59" s="8" t="s">
        <v>97</v>
      </c>
      <c r="G59" s="6" t="s">
        <v>116</v>
      </c>
    </row>
    <row r="60" spans="1:7" x14ac:dyDescent="0.2">
      <c r="A60" s="6">
        <v>6</v>
      </c>
      <c r="B60" s="6" t="s">
        <v>16</v>
      </c>
      <c r="C60" s="6" t="s">
        <v>120</v>
      </c>
      <c r="D60" s="6">
        <v>89826443387</v>
      </c>
      <c r="E60" s="6" t="s">
        <v>121</v>
      </c>
      <c r="F60" s="8" t="s">
        <v>122</v>
      </c>
      <c r="G60" s="6" t="s">
        <v>116</v>
      </c>
    </row>
    <row r="61" spans="1:7" x14ac:dyDescent="0.2">
      <c r="A61" s="6">
        <v>6</v>
      </c>
      <c r="B61" s="6" t="s">
        <v>16</v>
      </c>
      <c r="C61" s="6" t="s">
        <v>180</v>
      </c>
      <c r="D61" s="6">
        <v>9662603592</v>
      </c>
      <c r="E61" s="6" t="s">
        <v>181</v>
      </c>
      <c r="F61" s="8" t="s">
        <v>119</v>
      </c>
      <c r="G61" s="6" t="s">
        <v>116</v>
      </c>
    </row>
    <row r="62" spans="1:7" x14ac:dyDescent="0.2">
      <c r="A62" s="6">
        <v>6</v>
      </c>
      <c r="B62" s="6" t="s">
        <v>11</v>
      </c>
      <c r="C62" s="6" t="s">
        <v>12</v>
      </c>
      <c r="D62" s="6">
        <f>79853612719</f>
        <v>79853612719</v>
      </c>
      <c r="E62" s="6" t="s">
        <v>13</v>
      </c>
      <c r="F62" s="8" t="s">
        <v>14</v>
      </c>
      <c r="G62" s="6" t="s">
        <v>15</v>
      </c>
    </row>
    <row r="63" spans="1:7" x14ac:dyDescent="0.2">
      <c r="A63" s="6">
        <v>4</v>
      </c>
      <c r="B63" s="6" t="s">
        <v>16</v>
      </c>
      <c r="C63" s="6" t="s">
        <v>279</v>
      </c>
      <c r="D63" s="6">
        <v>89031848594</v>
      </c>
      <c r="E63" s="6" t="s">
        <v>280</v>
      </c>
      <c r="F63" s="8" t="s">
        <v>281</v>
      </c>
      <c r="G63" s="6" t="s">
        <v>282</v>
      </c>
    </row>
    <row r="64" spans="1:7" x14ac:dyDescent="0.2">
      <c r="A64" s="6">
        <v>4</v>
      </c>
      <c r="B64" s="6" t="s">
        <v>11</v>
      </c>
      <c r="C64" s="6" t="s">
        <v>67</v>
      </c>
      <c r="D64" s="6">
        <v>9081179730</v>
      </c>
      <c r="E64" s="6" t="s">
        <v>68</v>
      </c>
      <c r="F64" s="8" t="s">
        <v>69</v>
      </c>
      <c r="G64" s="6" t="s">
        <v>70</v>
      </c>
    </row>
    <row r="65" spans="1:7" x14ac:dyDescent="0.2">
      <c r="A65" s="6">
        <v>1</v>
      </c>
      <c r="B65" s="6" t="s">
        <v>16</v>
      </c>
      <c r="C65" s="6" t="s">
        <v>200</v>
      </c>
      <c r="D65" s="6">
        <v>89964327491</v>
      </c>
      <c r="E65" s="6" t="s">
        <v>201</v>
      </c>
      <c r="F65" s="8" t="s">
        <v>66</v>
      </c>
      <c r="G65" s="6" t="s">
        <v>70</v>
      </c>
    </row>
    <row r="66" spans="1:7" x14ac:dyDescent="0.2">
      <c r="A66" s="6">
        <v>2</v>
      </c>
      <c r="B66" s="6" t="s">
        <v>11</v>
      </c>
      <c r="C66" s="6" t="s">
        <v>33</v>
      </c>
      <c r="D66" s="6">
        <f>79052833872</f>
        <v>79052833872</v>
      </c>
      <c r="E66" s="6" t="s">
        <v>34</v>
      </c>
      <c r="F66" s="8" t="s">
        <v>35</v>
      </c>
      <c r="G66" s="6" t="s">
        <v>36</v>
      </c>
    </row>
    <row r="67" spans="1:7" x14ac:dyDescent="0.2">
      <c r="A67" s="6">
        <v>2</v>
      </c>
      <c r="B67" s="6" t="s">
        <v>11</v>
      </c>
      <c r="C67" s="6" t="s">
        <v>313</v>
      </c>
      <c r="D67" s="6">
        <v>89774202359</v>
      </c>
      <c r="E67" s="6" t="s">
        <v>314</v>
      </c>
      <c r="F67" s="8" t="s">
        <v>315</v>
      </c>
      <c r="G67" s="6" t="s">
        <v>36</v>
      </c>
    </row>
    <row r="68" spans="1:7" x14ac:dyDescent="0.2">
      <c r="A68" s="6">
        <v>4</v>
      </c>
      <c r="B68" s="6" t="s">
        <v>16</v>
      </c>
      <c r="C68" s="6" t="s">
        <v>53</v>
      </c>
      <c r="D68" s="6">
        <f>79031841160</f>
        <v>79031841160</v>
      </c>
      <c r="E68" s="6" t="s">
        <v>54</v>
      </c>
      <c r="F68" s="8" t="s">
        <v>55</v>
      </c>
      <c r="G68" s="6" t="s">
        <v>36</v>
      </c>
    </row>
    <row r="69" spans="1:7" x14ac:dyDescent="0.2">
      <c r="A69" s="6">
        <v>2</v>
      </c>
      <c r="B69" s="6" t="s">
        <v>11</v>
      </c>
      <c r="C69" s="6" t="s">
        <v>273</v>
      </c>
      <c r="D69" s="6">
        <v>9922652694</v>
      </c>
      <c r="E69" s="6" t="s">
        <v>274</v>
      </c>
      <c r="F69" s="8" t="s">
        <v>275</v>
      </c>
      <c r="G69" s="6" t="s">
        <v>276</v>
      </c>
    </row>
    <row r="70" spans="1:7" x14ac:dyDescent="0.2">
      <c r="A70" s="6">
        <v>1</v>
      </c>
      <c r="B70" s="6" t="s">
        <v>16</v>
      </c>
      <c r="C70" s="6" t="s">
        <v>302</v>
      </c>
      <c r="D70" s="6">
        <v>89006150054</v>
      </c>
      <c r="E70" s="6" t="s">
        <v>303</v>
      </c>
      <c r="F70" s="8" t="s">
        <v>145</v>
      </c>
      <c r="G70" s="6" t="s">
        <v>276</v>
      </c>
    </row>
    <row r="71" spans="1:7" x14ac:dyDescent="0.2">
      <c r="A71" s="6">
        <v>1</v>
      </c>
      <c r="B71" s="6" t="s">
        <v>16</v>
      </c>
      <c r="C71" s="6" t="s">
        <v>136</v>
      </c>
      <c r="D71" s="6">
        <v>9313381574</v>
      </c>
      <c r="E71" s="6" t="s">
        <v>137</v>
      </c>
      <c r="F71" s="8" t="s">
        <v>119</v>
      </c>
      <c r="G71" s="6" t="s">
        <v>138</v>
      </c>
    </row>
    <row r="72" spans="1:7" x14ac:dyDescent="0.2">
      <c r="A72" s="6">
        <v>2</v>
      </c>
      <c r="B72" s="6" t="s">
        <v>16</v>
      </c>
      <c r="C72" s="6" t="s">
        <v>261</v>
      </c>
      <c r="D72" s="6">
        <v>89323162383</v>
      </c>
      <c r="E72" s="6" t="s">
        <v>262</v>
      </c>
      <c r="F72" s="8" t="s">
        <v>263</v>
      </c>
      <c r="G72" s="6" t="s">
        <v>138</v>
      </c>
    </row>
    <row r="73" spans="1:7" x14ac:dyDescent="0.2">
      <c r="A73" s="6">
        <v>6</v>
      </c>
      <c r="B73" s="6" t="s">
        <v>11</v>
      </c>
      <c r="C73" s="6" t="s">
        <v>149</v>
      </c>
      <c r="D73" s="6">
        <v>89022307876</v>
      </c>
      <c r="E73" s="6" t="s">
        <v>150</v>
      </c>
      <c r="F73" s="8" t="s">
        <v>66</v>
      </c>
      <c r="G73" s="6" t="s">
        <v>151</v>
      </c>
    </row>
    <row r="74" spans="1:7" x14ac:dyDescent="0.2">
      <c r="A74" s="6">
        <v>4</v>
      </c>
      <c r="B74" s="6" t="s">
        <v>11</v>
      </c>
      <c r="C74" s="6" t="s">
        <v>155</v>
      </c>
      <c r="D74" s="6">
        <v>89998436011</v>
      </c>
      <c r="E74" s="6" t="s">
        <v>156</v>
      </c>
      <c r="F74" s="8" t="s">
        <v>157</v>
      </c>
      <c r="G74" s="6" t="s">
        <v>158</v>
      </c>
    </row>
    <row r="75" spans="1:7" x14ac:dyDescent="0.2">
      <c r="A75" s="6">
        <v>5</v>
      </c>
      <c r="B75" s="6" t="s">
        <v>11</v>
      </c>
      <c r="C75" s="6" t="s">
        <v>369</v>
      </c>
      <c r="D75" s="6">
        <v>9584101370</v>
      </c>
      <c r="E75" s="6" t="s">
        <v>370</v>
      </c>
      <c r="F75" s="8" t="s">
        <v>89</v>
      </c>
      <c r="G75" s="6" t="s">
        <v>158</v>
      </c>
    </row>
    <row r="76" spans="1:7" x14ac:dyDescent="0.2">
      <c r="A76" s="6">
        <v>6</v>
      </c>
      <c r="B76" s="6" t="s">
        <v>11</v>
      </c>
      <c r="C76" s="6" t="s">
        <v>191</v>
      </c>
      <c r="D76" s="6">
        <v>9803687478</v>
      </c>
      <c r="E76" s="6" t="s">
        <v>290</v>
      </c>
      <c r="F76" s="8" t="s">
        <v>291</v>
      </c>
      <c r="G76" s="6" t="s">
        <v>40</v>
      </c>
    </row>
    <row r="77" spans="1:7" x14ac:dyDescent="0.2">
      <c r="A77" s="6">
        <v>3</v>
      </c>
      <c r="B77" s="6" t="s">
        <v>16</v>
      </c>
      <c r="C77" s="6" t="s">
        <v>37</v>
      </c>
      <c r="D77" s="6">
        <v>89031844282</v>
      </c>
      <c r="E77" s="6" t="s">
        <v>38</v>
      </c>
      <c r="F77" s="8" t="s">
        <v>39</v>
      </c>
      <c r="G77" s="6" t="s">
        <v>40</v>
      </c>
    </row>
    <row r="78" spans="1:7" x14ac:dyDescent="0.2">
      <c r="A78" s="6">
        <v>2</v>
      </c>
      <c r="B78" s="6" t="s">
        <v>16</v>
      </c>
      <c r="C78" s="6" t="s">
        <v>338</v>
      </c>
      <c r="D78" s="6">
        <v>89913801286</v>
      </c>
      <c r="E78" s="6" t="s">
        <v>339</v>
      </c>
      <c r="F78" s="8" t="s">
        <v>340</v>
      </c>
      <c r="G78" s="6" t="s">
        <v>341</v>
      </c>
    </row>
    <row r="79" spans="1:7" x14ac:dyDescent="0.2">
      <c r="A79" s="6">
        <v>3</v>
      </c>
      <c r="B79" s="6" t="s">
        <v>16</v>
      </c>
      <c r="C79" s="6" t="s">
        <v>374</v>
      </c>
      <c r="D79" s="6">
        <v>9031841425</v>
      </c>
      <c r="E79" s="6" t="s">
        <v>375</v>
      </c>
      <c r="F79" s="8" t="s">
        <v>376</v>
      </c>
      <c r="G79" s="6" t="s">
        <v>341</v>
      </c>
    </row>
    <row r="80" spans="1:7" x14ac:dyDescent="0.2">
      <c r="A80" s="6">
        <v>1</v>
      </c>
      <c r="B80" s="6" t="s">
        <v>16</v>
      </c>
      <c r="C80" s="6" t="s">
        <v>21</v>
      </c>
      <c r="D80" s="6">
        <v>89711996493</v>
      </c>
      <c r="E80" s="6" t="s">
        <v>22</v>
      </c>
      <c r="F80" s="8" t="s">
        <v>23</v>
      </c>
      <c r="G80" s="6" t="s">
        <v>24</v>
      </c>
    </row>
    <row r="81" spans="1:7" x14ac:dyDescent="0.2">
      <c r="A81" s="6">
        <v>3</v>
      </c>
      <c r="B81" s="6" t="s">
        <v>16</v>
      </c>
      <c r="C81" s="6" t="s">
        <v>270</v>
      </c>
      <c r="D81" s="6">
        <v>89031842310</v>
      </c>
      <c r="E81" s="6" t="s">
        <v>271</v>
      </c>
      <c r="F81" s="8" t="s">
        <v>272</v>
      </c>
      <c r="G81" s="6" t="s">
        <v>24</v>
      </c>
    </row>
    <row r="82" spans="1:7" x14ac:dyDescent="0.2">
      <c r="A82" s="6">
        <v>1</v>
      </c>
      <c r="B82" s="6" t="s">
        <v>16</v>
      </c>
      <c r="C82" s="6" t="s">
        <v>347</v>
      </c>
      <c r="D82" s="6">
        <f>79995923846</f>
        <v>79995923846</v>
      </c>
      <c r="E82" s="6" t="s">
        <v>348</v>
      </c>
      <c r="F82" s="8" t="s">
        <v>349</v>
      </c>
      <c r="G82" s="6" t="s">
        <v>350</v>
      </c>
    </row>
    <row r="83" spans="1:7" x14ac:dyDescent="0.2">
      <c r="A83" s="6">
        <v>1</v>
      </c>
      <c r="B83" s="6" t="s">
        <v>16</v>
      </c>
      <c r="C83" s="6" t="s">
        <v>209</v>
      </c>
      <c r="D83" s="6">
        <v>89305383548</v>
      </c>
      <c r="E83" s="6" t="s">
        <v>210</v>
      </c>
      <c r="F83" s="8" t="s">
        <v>211</v>
      </c>
      <c r="G83" s="6" t="s">
        <v>212</v>
      </c>
    </row>
    <row r="84" spans="1:7" x14ac:dyDescent="0.2">
      <c r="A84" s="6">
        <v>5</v>
      </c>
      <c r="B84" s="6" t="s">
        <v>11</v>
      </c>
      <c r="C84" s="6" t="s">
        <v>45</v>
      </c>
      <c r="D84" s="6">
        <v>9866329797</v>
      </c>
      <c r="E84" s="6" t="s">
        <v>46</v>
      </c>
      <c r="F84" s="8" t="s">
        <v>47</v>
      </c>
      <c r="G84" s="6" t="s">
        <v>48</v>
      </c>
    </row>
    <row r="85" spans="1:7" x14ac:dyDescent="0.2">
      <c r="A85" s="6">
        <v>3</v>
      </c>
      <c r="B85" s="6" t="s">
        <v>11</v>
      </c>
      <c r="C85" s="6" t="s">
        <v>226</v>
      </c>
      <c r="D85" s="6">
        <f>79315587582</f>
        <v>79315587582</v>
      </c>
      <c r="E85" s="6" t="s">
        <v>227</v>
      </c>
      <c r="F85" s="8" t="s">
        <v>228</v>
      </c>
      <c r="G85" s="6" t="s">
        <v>48</v>
      </c>
    </row>
    <row r="86" spans="1:7" x14ac:dyDescent="0.2">
      <c r="A86" s="6">
        <v>4</v>
      </c>
      <c r="B86" s="6" t="s">
        <v>16</v>
      </c>
      <c r="C86" s="6" t="s">
        <v>304</v>
      </c>
      <c r="D86" s="6">
        <v>9031842319</v>
      </c>
      <c r="E86" s="6" t="s">
        <v>305</v>
      </c>
      <c r="F86" s="8" t="s">
        <v>306</v>
      </c>
      <c r="G86" s="6" t="s">
        <v>48</v>
      </c>
    </row>
    <row r="87" spans="1:7" x14ac:dyDescent="0.2">
      <c r="A87" s="6">
        <v>1</v>
      </c>
      <c r="B87" s="6" t="s">
        <v>16</v>
      </c>
      <c r="C87" s="6" t="s">
        <v>256</v>
      </c>
      <c r="D87" s="6">
        <v>89869541780</v>
      </c>
      <c r="E87" s="6" t="s">
        <v>257</v>
      </c>
      <c r="F87" s="8" t="s">
        <v>141</v>
      </c>
      <c r="G87" s="6" t="s">
        <v>48</v>
      </c>
    </row>
    <row r="88" spans="1:7" x14ac:dyDescent="0.2">
      <c r="A88" s="6">
        <v>6</v>
      </c>
      <c r="B88" s="6" t="s">
        <v>11</v>
      </c>
      <c r="C88" s="6" t="s">
        <v>91</v>
      </c>
      <c r="D88" s="6">
        <v>9045727177</v>
      </c>
      <c r="E88" s="6" t="s">
        <v>92</v>
      </c>
      <c r="F88" s="8" t="s">
        <v>93</v>
      </c>
      <c r="G88" s="6" t="s">
        <v>94</v>
      </c>
    </row>
    <row r="89" spans="1:7" x14ac:dyDescent="0.2">
      <c r="A89" s="6">
        <v>4</v>
      </c>
      <c r="B89" s="6" t="s">
        <v>11</v>
      </c>
      <c r="C89" s="6" t="s">
        <v>146</v>
      </c>
      <c r="D89" s="6">
        <v>89787755290</v>
      </c>
      <c r="E89" s="6" t="s">
        <v>147</v>
      </c>
      <c r="F89" s="8" t="s">
        <v>148</v>
      </c>
      <c r="G89" s="6" t="s">
        <v>94</v>
      </c>
    </row>
    <row r="90" spans="1:7" x14ac:dyDescent="0.2">
      <c r="A90" s="6">
        <v>3</v>
      </c>
      <c r="B90" s="6" t="s">
        <v>16</v>
      </c>
      <c r="C90" s="6" t="s">
        <v>362</v>
      </c>
      <c r="D90" s="6">
        <v>9031846566</v>
      </c>
      <c r="E90" s="6" t="s">
        <v>363</v>
      </c>
      <c r="F90" s="8" t="s">
        <v>364</v>
      </c>
      <c r="G90" s="6" t="s">
        <v>94</v>
      </c>
    </row>
    <row r="91" spans="1:7" x14ac:dyDescent="0.2">
      <c r="A91" s="6">
        <v>1</v>
      </c>
      <c r="B91" s="6" t="s">
        <v>16</v>
      </c>
      <c r="C91" s="6" t="s">
        <v>152</v>
      </c>
      <c r="D91" s="6">
        <v>89586286021</v>
      </c>
      <c r="E91" s="6" t="s">
        <v>153</v>
      </c>
      <c r="F91" s="8" t="s">
        <v>14</v>
      </c>
      <c r="G91" s="6" t="s">
        <v>154</v>
      </c>
    </row>
    <row r="92" spans="1:7" x14ac:dyDescent="0.2">
      <c r="A92" s="6">
        <v>6</v>
      </c>
      <c r="B92" s="6" t="s">
        <v>11</v>
      </c>
      <c r="C92" s="6" t="s">
        <v>316</v>
      </c>
      <c r="D92" s="6">
        <f>79505885915</f>
        <v>79505885915</v>
      </c>
      <c r="E92" s="6" t="s">
        <v>317</v>
      </c>
      <c r="F92" s="8" t="s">
        <v>89</v>
      </c>
      <c r="G92" s="6" t="s">
        <v>32</v>
      </c>
    </row>
    <row r="93" spans="1:7" x14ac:dyDescent="0.2">
      <c r="A93" s="6">
        <v>1</v>
      </c>
      <c r="B93" s="6" t="s">
        <v>16</v>
      </c>
      <c r="C93" s="6" t="s">
        <v>250</v>
      </c>
      <c r="D93" s="6">
        <v>9935252888</v>
      </c>
      <c r="E93" s="6" t="s">
        <v>251</v>
      </c>
      <c r="F93" s="8" t="s">
        <v>244</v>
      </c>
      <c r="G93" s="6" t="s">
        <v>32</v>
      </c>
    </row>
    <row r="94" spans="1:7" x14ac:dyDescent="0.2">
      <c r="A94" s="6">
        <v>5</v>
      </c>
      <c r="B94" s="6" t="s">
        <v>16</v>
      </c>
      <c r="C94" s="6" t="s">
        <v>29</v>
      </c>
      <c r="D94" s="6">
        <v>9956490713</v>
      </c>
      <c r="E94" s="6" t="s">
        <v>30</v>
      </c>
      <c r="F94" s="8" t="s">
        <v>31</v>
      </c>
      <c r="G94" s="6" t="s">
        <v>32</v>
      </c>
    </row>
    <row r="95" spans="1:7" x14ac:dyDescent="0.2">
      <c r="A95" s="6">
        <v>4</v>
      </c>
      <c r="B95" s="6" t="s">
        <v>16</v>
      </c>
      <c r="C95" s="6" t="s">
        <v>195</v>
      </c>
      <c r="D95" s="6">
        <v>89031846097</v>
      </c>
      <c r="E95" s="6" t="s">
        <v>196</v>
      </c>
      <c r="F95" s="8" t="s">
        <v>197</v>
      </c>
      <c r="G95" s="6" t="s">
        <v>32</v>
      </c>
    </row>
    <row r="96" spans="1:7" x14ac:dyDescent="0.2">
      <c r="A96" s="6">
        <v>5</v>
      </c>
      <c r="B96" s="6" t="s">
        <v>16</v>
      </c>
      <c r="C96" s="6" t="s">
        <v>117</v>
      </c>
      <c r="D96" s="6">
        <v>9336575853</v>
      </c>
      <c r="E96" s="6" t="s">
        <v>118</v>
      </c>
      <c r="F96" s="8" t="s">
        <v>119</v>
      </c>
      <c r="G96" s="6" t="s">
        <v>32</v>
      </c>
    </row>
    <row r="97" spans="1:7" x14ac:dyDescent="0.2">
      <c r="A97" s="6">
        <v>4</v>
      </c>
      <c r="B97" s="6" t="s">
        <v>11</v>
      </c>
      <c r="C97" s="6" t="s">
        <v>111</v>
      </c>
      <c r="D97" s="6">
        <v>89265763261</v>
      </c>
      <c r="E97" s="6" t="s">
        <v>112</v>
      </c>
      <c r="F97" s="8" t="s">
        <v>113</v>
      </c>
      <c r="G97" s="6" t="s">
        <v>52</v>
      </c>
    </row>
    <row r="98" spans="1:7" x14ac:dyDescent="0.2">
      <c r="A98" s="6">
        <v>6</v>
      </c>
      <c r="B98" s="6" t="s">
        <v>11</v>
      </c>
      <c r="C98" s="6" t="s">
        <v>29</v>
      </c>
      <c r="D98" s="6">
        <v>9393436862</v>
      </c>
      <c r="E98" s="6" t="s">
        <v>185</v>
      </c>
      <c r="F98" s="8" t="s">
        <v>186</v>
      </c>
      <c r="G98" s="6" t="s">
        <v>52</v>
      </c>
    </row>
    <row r="99" spans="1:7" x14ac:dyDescent="0.2">
      <c r="A99" s="6">
        <v>2</v>
      </c>
      <c r="B99" s="6" t="s">
        <v>11</v>
      </c>
      <c r="C99" s="6" t="s">
        <v>49</v>
      </c>
      <c r="D99" s="6">
        <v>9773953951</v>
      </c>
      <c r="E99" s="6" t="s">
        <v>50</v>
      </c>
      <c r="F99" s="8" t="s">
        <v>51</v>
      </c>
      <c r="G99" s="6" t="s">
        <v>52</v>
      </c>
    </row>
    <row r="100" spans="1:7" x14ac:dyDescent="0.2">
      <c r="A100" s="6">
        <v>1</v>
      </c>
      <c r="B100" s="6" t="s">
        <v>16</v>
      </c>
      <c r="C100" s="6" t="s">
        <v>127</v>
      </c>
      <c r="D100" s="6">
        <v>89388748579</v>
      </c>
      <c r="E100" s="6" t="s">
        <v>128</v>
      </c>
      <c r="F100" s="8" t="s">
        <v>129</v>
      </c>
      <c r="G100" s="6" t="s">
        <v>52</v>
      </c>
    </row>
    <row r="101" spans="1:7" x14ac:dyDescent="0.2">
      <c r="A101" s="6">
        <v>6</v>
      </c>
      <c r="B101" s="6" t="s">
        <v>11</v>
      </c>
      <c r="C101" s="6" t="s">
        <v>307</v>
      </c>
      <c r="D101" s="6">
        <v>9967599513</v>
      </c>
      <c r="E101" s="6" t="s">
        <v>308</v>
      </c>
      <c r="F101" s="8" t="s">
        <v>244</v>
      </c>
      <c r="G101" s="6" t="s">
        <v>309</v>
      </c>
    </row>
    <row r="102" spans="1:7" x14ac:dyDescent="0.2">
      <c r="A102" s="6">
        <v>4</v>
      </c>
      <c r="B102" s="6" t="s">
        <v>11</v>
      </c>
      <c r="C102" s="6" t="s">
        <v>25</v>
      </c>
      <c r="D102" s="6">
        <v>9519711231</v>
      </c>
      <c r="E102" s="6" t="s">
        <v>26</v>
      </c>
      <c r="F102" s="8" t="s">
        <v>27</v>
      </c>
      <c r="G102" s="6" t="s">
        <v>28</v>
      </c>
    </row>
    <row r="103" spans="1:7" x14ac:dyDescent="0.2">
      <c r="A103" s="6">
        <v>2</v>
      </c>
      <c r="B103" s="6" t="s">
        <v>11</v>
      </c>
      <c r="C103" s="6" t="s">
        <v>267</v>
      </c>
      <c r="D103" s="6">
        <v>9695887334</v>
      </c>
      <c r="E103" s="6" t="s">
        <v>268</v>
      </c>
      <c r="F103" s="8" t="s">
        <v>269</v>
      </c>
      <c r="G103" s="6" t="s">
        <v>28</v>
      </c>
    </row>
    <row r="104" spans="1:7" x14ac:dyDescent="0.2">
      <c r="A104" s="6">
        <v>2</v>
      </c>
      <c r="B104" s="6" t="s">
        <v>11</v>
      </c>
      <c r="C104" s="6" t="s">
        <v>60</v>
      </c>
      <c r="D104" s="6">
        <v>89586812187</v>
      </c>
      <c r="E104" s="6" t="s">
        <v>61</v>
      </c>
      <c r="F104" s="8" t="s">
        <v>62</v>
      </c>
      <c r="G104" s="6" t="s">
        <v>63</v>
      </c>
    </row>
    <row r="105" spans="1:7" x14ac:dyDescent="0.2">
      <c r="A105" s="6">
        <v>6</v>
      </c>
      <c r="B105" s="6" t="s">
        <v>11</v>
      </c>
      <c r="C105" s="6" t="s">
        <v>365</v>
      </c>
      <c r="D105" s="6">
        <f>79931686711</f>
        <v>79931686711</v>
      </c>
      <c r="E105" s="6" t="s">
        <v>366</v>
      </c>
      <c r="F105" s="8" t="s">
        <v>101</v>
      </c>
      <c r="G105" s="6" t="s">
        <v>63</v>
      </c>
    </row>
    <row r="106" spans="1:7" x14ac:dyDescent="0.2">
      <c r="A106" s="6">
        <v>1</v>
      </c>
      <c r="B106" s="6" t="s">
        <v>16</v>
      </c>
      <c r="C106" s="6" t="s">
        <v>295</v>
      </c>
      <c r="D106" s="6">
        <v>9022423900</v>
      </c>
      <c r="E106" s="6" t="s">
        <v>296</v>
      </c>
      <c r="F106" s="8" t="s">
        <v>231</v>
      </c>
      <c r="G106" s="6" t="s">
        <v>63</v>
      </c>
    </row>
    <row r="107" spans="1:7" x14ac:dyDescent="0.2">
      <c r="A107" s="6">
        <v>3</v>
      </c>
      <c r="B107" s="6" t="s">
        <v>11</v>
      </c>
      <c r="C107" s="6" t="s">
        <v>351</v>
      </c>
      <c r="D107" s="6">
        <f>79332615161</f>
        <v>79332615161</v>
      </c>
      <c r="E107" s="6" t="s">
        <v>352</v>
      </c>
      <c r="F107" s="8" t="s">
        <v>353</v>
      </c>
      <c r="G107" s="6" t="s">
        <v>78</v>
      </c>
    </row>
    <row r="108" spans="1:7" x14ac:dyDescent="0.2">
      <c r="A108" s="6">
        <v>5</v>
      </c>
      <c r="B108" s="6" t="s">
        <v>11</v>
      </c>
      <c r="C108" s="6" t="s">
        <v>75</v>
      </c>
      <c r="D108" s="6">
        <f>79113109088</f>
        <v>79113109088</v>
      </c>
      <c r="E108" s="6" t="s">
        <v>76</v>
      </c>
      <c r="F108" s="8" t="s">
        <v>77</v>
      </c>
      <c r="G108" s="6" t="s">
        <v>78</v>
      </c>
    </row>
    <row r="109" spans="1:7" x14ac:dyDescent="0.2">
      <c r="A109" s="6">
        <v>2</v>
      </c>
      <c r="B109" s="6" t="s">
        <v>16</v>
      </c>
      <c r="C109" s="6" t="s">
        <v>285</v>
      </c>
      <c r="D109" s="6">
        <v>9708785920</v>
      </c>
      <c r="E109" s="6" t="s">
        <v>286</v>
      </c>
      <c r="F109" s="8" t="s">
        <v>287</v>
      </c>
      <c r="G109" s="6" t="s">
        <v>142</v>
      </c>
    </row>
    <row r="110" spans="1:7" x14ac:dyDescent="0.2">
      <c r="A110" s="6">
        <v>5</v>
      </c>
      <c r="B110" s="6" t="s">
        <v>16</v>
      </c>
      <c r="C110" s="6" t="s">
        <v>139</v>
      </c>
      <c r="D110" s="6">
        <v>89668119394</v>
      </c>
      <c r="E110" s="6" t="s">
        <v>140</v>
      </c>
      <c r="F110" s="8" t="s">
        <v>141</v>
      </c>
      <c r="G110" s="6" t="s">
        <v>142</v>
      </c>
    </row>
    <row r="111" spans="1:7" x14ac:dyDescent="0.2">
      <c r="A111" s="6">
        <v>2</v>
      </c>
      <c r="B111" s="6" t="s">
        <v>16</v>
      </c>
      <c r="C111" s="6" t="s">
        <v>83</v>
      </c>
      <c r="D111" s="6">
        <f>79585568102</f>
        <v>79585568102</v>
      </c>
      <c r="E111" s="6" t="s">
        <v>84</v>
      </c>
      <c r="F111" s="8" t="s">
        <v>85</v>
      </c>
      <c r="G111" s="6" t="s">
        <v>86</v>
      </c>
    </row>
    <row r="112" spans="1:7" x14ac:dyDescent="0.2">
      <c r="A112" s="6">
        <v>2</v>
      </c>
      <c r="B112" s="6" t="s">
        <v>16</v>
      </c>
      <c r="C112" s="6" t="s">
        <v>344</v>
      </c>
      <c r="D112" s="6">
        <v>89501293721</v>
      </c>
      <c r="E112" s="6" t="s">
        <v>345</v>
      </c>
      <c r="F112" s="8" t="s">
        <v>346</v>
      </c>
      <c r="G112" s="6" t="s">
        <v>86</v>
      </c>
    </row>
    <row r="113" spans="1:7" x14ac:dyDescent="0.2">
      <c r="A113" s="6">
        <v>3</v>
      </c>
      <c r="B113" s="6" t="s">
        <v>16</v>
      </c>
      <c r="C113" s="6" t="s">
        <v>354</v>
      </c>
      <c r="D113" s="6">
        <f>79031843437</f>
        <v>79031843437</v>
      </c>
      <c r="E113" s="6" t="s">
        <v>355</v>
      </c>
      <c r="F113" s="8" t="s">
        <v>356</v>
      </c>
      <c r="G113" s="6" t="s">
        <v>86</v>
      </c>
    </row>
    <row r="114" spans="1:7" x14ac:dyDescent="0.2">
      <c r="A114" s="6">
        <v>5</v>
      </c>
      <c r="B114" s="6" t="s">
        <v>16</v>
      </c>
      <c r="C114" s="6" t="s">
        <v>191</v>
      </c>
      <c r="D114" s="6">
        <v>9523677773</v>
      </c>
      <c r="E114" s="6" t="s">
        <v>192</v>
      </c>
      <c r="F114" s="8" t="s">
        <v>193</v>
      </c>
      <c r="G114" s="6" t="s">
        <v>194</v>
      </c>
    </row>
    <row r="115" spans="1:7" x14ac:dyDescent="0.2">
      <c r="A115" s="6">
        <v>3</v>
      </c>
      <c r="B115" s="6" t="s">
        <v>16</v>
      </c>
      <c r="C115" s="6" t="s">
        <v>334</v>
      </c>
      <c r="D115" s="6">
        <v>89031849871</v>
      </c>
      <c r="E115" s="6" t="s">
        <v>335</v>
      </c>
      <c r="F115" s="8" t="s">
        <v>336</v>
      </c>
      <c r="G115" s="6" t="s">
        <v>337</v>
      </c>
    </row>
    <row r="116" spans="1:7" ht="15.75" customHeight="1" x14ac:dyDescent="0.2">
      <c r="A116" s="7"/>
      <c r="B116" s="7"/>
      <c r="C116" s="7"/>
      <c r="D116" s="7"/>
      <c r="E116" s="7"/>
      <c r="F116" s="7"/>
      <c r="G116" s="7"/>
    </row>
  </sheetData>
  <conditionalFormatting sqref="G2:G115">
    <cfRule type="cellIs" dxfId="15" priority="7" operator="equal">
      <formula>$G$2</formula>
    </cfRule>
  </conditionalFormatting>
  <conditionalFormatting sqref="G2:G116">
    <cfRule type="cellIs" dxfId="5" priority="6" operator="equal">
      <formula>$G$3</formula>
    </cfRule>
    <cfRule type="cellIs" dxfId="6" priority="4" operator="equal">
      <formula>$G$4</formula>
    </cfRule>
    <cfRule type="cellIs" dxfId="7" priority="3" operator="equal">
      <formula>$G$5</formula>
    </cfRule>
    <cfRule type="cellIs" dxfId="8" priority="2" operator="equal">
      <formula>$G$6</formula>
    </cfRule>
    <cfRule type="cellIs" dxfId="4" priority="1" operator="equal">
      <formula>$G$7</formula>
    </cfRule>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Задание</vt:lpstr>
      <vt:lpstr>Данные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vdvnick</cp:lastModifiedBy>
  <dcterms:modified xsi:type="dcterms:W3CDTF">2020-12-21T10:55:06Z</dcterms:modified>
</cp:coreProperties>
</file>